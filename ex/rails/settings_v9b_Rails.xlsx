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mat471/Documents/GitHub/BEASTmasteR/ex/rails/"/>
    </mc:Choice>
  </mc:AlternateContent>
  <xr:revisionPtr revIDLastSave="0" documentId="13_ncr:1_{44A33953-514C-9C4F-BA56-AA821552EAA2}" xr6:coauthVersionLast="47" xr6:coauthVersionMax="47" xr10:uidLastSave="{00000000-0000-0000-0000-000000000000}"/>
  <bookViews>
    <workbookView xWindow="6820" yWindow="600" windowWidth="36940" windowHeight="24600" tabRatio="780" activeTab="4" xr2:uid="{00000000-000D-0000-FFFF-FFFF00000000}"/>
  </bookViews>
  <sheets>
    <sheet name="metadata" sheetId="7" r:id="rId1"/>
    <sheet name="OTUs" sheetId="2" r:id="rId2"/>
    <sheet name="taxa" sheetId="3" r:id="rId3"/>
    <sheet name="nodes" sheetId="4" r:id="rId4"/>
    <sheet name="data" sheetId="1" r:id="rId5"/>
    <sheet name="taxonsets" sheetId="11" r:id="rId6"/>
    <sheet name="treemodel" sheetId="5" r:id="rId7"/>
    <sheet name="run" sheetId="6" r:id="rId8"/>
    <sheet name="stats" sheetId="9" r:id="rId9"/>
    <sheet name="traits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H17" i="1" l="1"/>
  <c r="AH18" i="1"/>
  <c r="AH19" i="1"/>
  <c r="AH20" i="1"/>
  <c r="AH16" i="1"/>
  <c r="K95" i="2" l="1"/>
  <c r="K103" i="2"/>
  <c r="K111" i="2"/>
  <c r="K118" i="2"/>
  <c r="K119" i="2"/>
  <c r="K127" i="2"/>
  <c r="K135" i="2"/>
  <c r="K143" i="2"/>
  <c r="K150" i="2"/>
  <c r="K151" i="2"/>
  <c r="K159" i="2"/>
  <c r="K167" i="2"/>
  <c r="K175" i="2"/>
  <c r="K182" i="2"/>
  <c r="K183" i="2"/>
  <c r="K191" i="2"/>
  <c r="K199" i="2"/>
  <c r="AE9" i="9"/>
  <c r="AF9" i="9"/>
  <c r="AG9" i="9"/>
  <c r="AE10" i="9"/>
  <c r="AH10" i="9" s="1"/>
  <c r="AI10" i="9" s="1"/>
  <c r="AF10" i="9"/>
  <c r="AG10" i="9"/>
  <c r="AE11" i="9"/>
  <c r="AF11" i="9"/>
  <c r="AG11" i="9"/>
  <c r="AE12" i="9"/>
  <c r="AF12" i="9"/>
  <c r="AG12" i="9"/>
  <c r="AE13" i="9"/>
  <c r="AF13" i="9"/>
  <c r="AG13" i="9"/>
  <c r="AE14" i="9"/>
  <c r="AF14" i="9"/>
  <c r="AG14" i="9"/>
  <c r="AE15" i="9"/>
  <c r="AH15" i="9" s="1"/>
  <c r="AF15" i="9"/>
  <c r="AG15" i="9"/>
  <c r="AE16" i="9"/>
  <c r="AF16" i="9"/>
  <c r="AG16" i="9"/>
  <c r="AE17" i="9"/>
  <c r="AF17" i="9"/>
  <c r="AG17" i="9"/>
  <c r="AE18" i="9"/>
  <c r="AF18" i="9"/>
  <c r="AG18" i="9"/>
  <c r="AE19" i="9"/>
  <c r="AF19" i="9"/>
  <c r="AG19" i="9"/>
  <c r="AE20" i="9"/>
  <c r="AF20" i="9"/>
  <c r="AG20" i="9"/>
  <c r="AE21" i="9"/>
  <c r="AF21" i="9"/>
  <c r="AG21" i="9"/>
  <c r="AE22" i="9"/>
  <c r="AF22" i="9"/>
  <c r="AG22" i="9"/>
  <c r="AE23" i="9"/>
  <c r="AH23" i="9" s="1"/>
  <c r="AF23" i="9"/>
  <c r="AG23" i="9"/>
  <c r="AE24" i="9"/>
  <c r="AF24" i="9"/>
  <c r="AH24" i="9" s="1"/>
  <c r="AG24" i="9"/>
  <c r="AE25" i="9"/>
  <c r="AF25" i="9"/>
  <c r="AG25" i="9"/>
  <c r="AE26" i="9"/>
  <c r="AH26" i="9" s="1"/>
  <c r="AF26" i="9"/>
  <c r="AG26" i="9"/>
  <c r="AE27" i="9"/>
  <c r="AF27" i="9"/>
  <c r="AG27" i="9"/>
  <c r="AE28" i="9"/>
  <c r="AF28" i="9"/>
  <c r="AG28" i="9"/>
  <c r="AE29" i="9"/>
  <c r="AH29" i="9" s="1"/>
  <c r="AI29" i="9" s="1"/>
  <c r="AF29" i="9"/>
  <c r="AG29" i="9"/>
  <c r="AE30" i="9"/>
  <c r="AF30" i="9"/>
  <c r="AG30" i="9"/>
  <c r="AH30" i="9" s="1"/>
  <c r="AE31" i="9"/>
  <c r="AH31" i="9" s="1"/>
  <c r="AF31" i="9"/>
  <c r="AG31" i="9"/>
  <c r="AE32" i="9"/>
  <c r="AF32" i="9"/>
  <c r="AG32" i="9"/>
  <c r="AE33" i="9"/>
  <c r="AF33" i="9"/>
  <c r="AG33" i="9"/>
  <c r="AH33" i="9" s="1"/>
  <c r="AE34" i="9"/>
  <c r="AF34" i="9"/>
  <c r="AG34" i="9"/>
  <c r="AE35" i="9"/>
  <c r="AF35" i="9"/>
  <c r="AG35" i="9"/>
  <c r="AE36" i="9"/>
  <c r="AF36" i="9"/>
  <c r="AG36" i="9"/>
  <c r="AH36" i="9" s="1"/>
  <c r="AI36" i="9" s="1"/>
  <c r="AE37" i="9"/>
  <c r="AH37" i="9" s="1"/>
  <c r="AF37" i="9"/>
  <c r="AG37" i="9"/>
  <c r="AE38" i="9"/>
  <c r="AF38" i="9"/>
  <c r="AG38" i="9"/>
  <c r="AE39" i="9"/>
  <c r="AF39" i="9"/>
  <c r="AG39" i="9"/>
  <c r="AE40" i="9"/>
  <c r="AH40" i="9" s="1"/>
  <c r="AI40" i="9" s="1"/>
  <c r="AF40" i="9"/>
  <c r="AG40" i="9"/>
  <c r="AE41" i="9"/>
  <c r="AF41" i="9"/>
  <c r="AG41" i="9"/>
  <c r="AE42" i="9"/>
  <c r="AF42" i="9"/>
  <c r="AG42" i="9"/>
  <c r="AE43" i="9"/>
  <c r="AF43" i="9"/>
  <c r="AG43" i="9"/>
  <c r="AE44" i="9"/>
  <c r="AH44" i="9" s="1"/>
  <c r="AF44" i="9"/>
  <c r="AG44" i="9"/>
  <c r="AE45" i="9"/>
  <c r="AF45" i="9"/>
  <c r="AG45" i="9"/>
  <c r="AE46" i="9"/>
  <c r="AF46" i="9"/>
  <c r="AG46" i="9"/>
  <c r="AE47" i="9"/>
  <c r="AH47" i="9" s="1"/>
  <c r="AF47" i="9"/>
  <c r="AG47" i="9"/>
  <c r="AE48" i="9"/>
  <c r="AF48" i="9"/>
  <c r="AG48" i="9"/>
  <c r="AE49" i="9"/>
  <c r="AF49" i="9"/>
  <c r="AH49" i="9" s="1"/>
  <c r="AG49" i="9"/>
  <c r="AE50" i="9"/>
  <c r="AF50" i="9"/>
  <c r="AG50" i="9"/>
  <c r="AE51" i="9"/>
  <c r="AF51" i="9"/>
  <c r="AG51" i="9"/>
  <c r="AE52" i="9"/>
  <c r="AF52" i="9"/>
  <c r="AG52" i="9"/>
  <c r="AH52" i="9" s="1"/>
  <c r="AE53" i="9"/>
  <c r="AF53" i="9"/>
  <c r="AG53" i="9"/>
  <c r="AE54" i="9"/>
  <c r="AF54" i="9"/>
  <c r="AG54" i="9"/>
  <c r="AH54" i="9" s="1"/>
  <c r="AE55" i="9"/>
  <c r="AF55" i="9"/>
  <c r="AG55" i="9"/>
  <c r="AE56" i="9"/>
  <c r="AF56" i="9"/>
  <c r="AG56" i="9"/>
  <c r="AE57" i="9"/>
  <c r="AH57" i="9" s="1"/>
  <c r="AF57" i="9"/>
  <c r="AG57" i="9"/>
  <c r="AE58" i="9"/>
  <c r="AH58" i="9" s="1"/>
  <c r="AI58" i="9" s="1"/>
  <c r="AF58" i="9"/>
  <c r="AG58" i="9"/>
  <c r="AE59" i="9"/>
  <c r="AF59" i="9"/>
  <c r="AH59" i="9" s="1"/>
  <c r="AG59" i="9"/>
  <c r="AE60" i="9"/>
  <c r="AF60" i="9"/>
  <c r="AG60" i="9"/>
  <c r="AE61" i="9"/>
  <c r="AF61" i="9"/>
  <c r="AG61" i="9"/>
  <c r="AE62" i="9"/>
  <c r="AF62" i="9"/>
  <c r="AG62" i="9"/>
  <c r="AE63" i="9"/>
  <c r="AH63" i="9" s="1"/>
  <c r="AF63" i="9"/>
  <c r="AG63" i="9"/>
  <c r="AE64" i="9"/>
  <c r="AF64" i="9"/>
  <c r="AG64" i="9"/>
  <c r="AE65" i="9"/>
  <c r="AF65" i="9"/>
  <c r="AG65" i="9"/>
  <c r="AH65" i="9" s="1"/>
  <c r="AE66" i="9"/>
  <c r="AF66" i="9"/>
  <c r="AG66" i="9"/>
  <c r="AE67" i="9"/>
  <c r="AF67" i="9"/>
  <c r="AG67" i="9"/>
  <c r="AH67" i="9" s="1"/>
  <c r="AE68" i="9"/>
  <c r="AF68" i="9"/>
  <c r="AG68" i="9"/>
  <c r="AH68" i="9" s="1"/>
  <c r="AE69" i="9"/>
  <c r="AF69" i="9"/>
  <c r="AG69" i="9"/>
  <c r="AE70" i="9"/>
  <c r="AH70" i="9" s="1"/>
  <c r="AF70" i="9"/>
  <c r="AG70" i="9"/>
  <c r="AE71" i="9"/>
  <c r="AF71" i="9"/>
  <c r="AG71" i="9"/>
  <c r="AE72" i="9"/>
  <c r="AH72" i="9" s="1"/>
  <c r="AI72" i="9" s="1"/>
  <c r="AF72" i="9"/>
  <c r="AG72" i="9"/>
  <c r="AE73" i="9"/>
  <c r="AF73" i="9"/>
  <c r="AG73" i="9"/>
  <c r="AE74" i="9"/>
  <c r="AF74" i="9"/>
  <c r="AG74" i="9"/>
  <c r="AE75" i="9"/>
  <c r="AF75" i="9"/>
  <c r="AG75" i="9"/>
  <c r="AE76" i="9"/>
  <c r="AF76" i="9"/>
  <c r="AG76" i="9"/>
  <c r="AE77" i="9"/>
  <c r="AF77" i="9"/>
  <c r="AG77" i="9"/>
  <c r="AE78" i="9"/>
  <c r="AF78" i="9"/>
  <c r="AG78" i="9"/>
  <c r="AE79" i="9"/>
  <c r="AF79" i="9"/>
  <c r="AG79" i="9"/>
  <c r="AE80" i="9"/>
  <c r="AH80" i="9" s="1"/>
  <c r="AF80" i="9"/>
  <c r="AG80" i="9"/>
  <c r="AE81" i="9"/>
  <c r="AH81" i="9" s="1"/>
  <c r="AF81" i="9"/>
  <c r="AG81" i="9"/>
  <c r="AE82" i="9"/>
  <c r="AF82" i="9"/>
  <c r="AG82" i="9"/>
  <c r="AE83" i="9"/>
  <c r="AH83" i="9" s="1"/>
  <c r="AF83" i="9"/>
  <c r="AG83" i="9"/>
  <c r="AE84" i="9"/>
  <c r="AF84" i="9"/>
  <c r="AG84" i="9"/>
  <c r="AE85" i="9"/>
  <c r="AF85" i="9"/>
  <c r="AG85" i="9"/>
  <c r="AE86" i="9"/>
  <c r="AH86" i="9" s="1"/>
  <c r="AF86" i="9"/>
  <c r="AG86" i="9"/>
  <c r="AE87" i="9"/>
  <c r="AF87" i="9"/>
  <c r="AG87" i="9"/>
  <c r="AE88" i="9"/>
  <c r="AF88" i="9"/>
  <c r="AG88" i="9"/>
  <c r="AH88" i="9" s="1"/>
  <c r="AE89" i="9"/>
  <c r="AF89" i="9"/>
  <c r="AG89" i="9"/>
  <c r="AE90" i="9"/>
  <c r="AF90" i="9"/>
  <c r="AG90" i="9"/>
  <c r="AE91" i="9"/>
  <c r="AF91" i="9"/>
  <c r="AG91" i="9"/>
  <c r="AE92" i="9"/>
  <c r="AF92" i="9"/>
  <c r="AG92" i="9"/>
  <c r="AE93" i="9"/>
  <c r="AF93" i="9"/>
  <c r="AG93" i="9"/>
  <c r="AE94" i="9"/>
  <c r="AF94" i="9"/>
  <c r="AG94" i="9"/>
  <c r="AE95" i="9"/>
  <c r="AF95" i="9"/>
  <c r="AG95" i="9"/>
  <c r="AE96" i="9"/>
  <c r="AH96" i="9" s="1"/>
  <c r="AJ96" i="9" s="1"/>
  <c r="AK96" i="9" s="1"/>
  <c r="AF96" i="9"/>
  <c r="AG96" i="9"/>
  <c r="AE97" i="9"/>
  <c r="AF97" i="9"/>
  <c r="AG97" i="9"/>
  <c r="AE98" i="9"/>
  <c r="AF98" i="9"/>
  <c r="AG98" i="9"/>
  <c r="AE99" i="9"/>
  <c r="AH99" i="9" s="1"/>
  <c r="AJ99" i="9" s="1"/>
  <c r="AK99" i="9" s="1"/>
  <c r="AF99" i="9"/>
  <c r="AG99" i="9"/>
  <c r="AE100" i="9"/>
  <c r="AH100" i="9" s="1"/>
  <c r="AF100" i="9"/>
  <c r="AG100" i="9"/>
  <c r="AE101" i="9"/>
  <c r="AH101" i="9" s="1"/>
  <c r="AF101" i="9"/>
  <c r="AG101" i="9"/>
  <c r="AE102" i="9"/>
  <c r="AF102" i="9"/>
  <c r="AG102" i="9"/>
  <c r="AE103" i="9"/>
  <c r="AF103" i="9"/>
  <c r="AG103" i="9"/>
  <c r="AE104" i="9"/>
  <c r="AH104" i="9" s="1"/>
  <c r="AF104" i="9"/>
  <c r="AG104" i="9"/>
  <c r="AE105" i="9"/>
  <c r="AF105" i="9"/>
  <c r="AG105" i="9"/>
  <c r="AE106" i="9"/>
  <c r="AF106" i="9"/>
  <c r="AG106" i="9"/>
  <c r="AE107" i="9"/>
  <c r="AF107" i="9"/>
  <c r="AG107" i="9"/>
  <c r="AE108" i="9"/>
  <c r="AF108" i="9"/>
  <c r="AG108" i="9"/>
  <c r="AE109" i="9"/>
  <c r="AH109" i="9" s="1"/>
  <c r="AI109" i="9" s="1"/>
  <c r="AF109" i="9"/>
  <c r="AG109" i="9"/>
  <c r="AE110" i="9"/>
  <c r="AF110" i="9"/>
  <c r="AG110" i="9"/>
  <c r="AE111" i="9"/>
  <c r="AF111" i="9"/>
  <c r="AG111" i="9"/>
  <c r="AE112" i="9"/>
  <c r="AH112" i="9" s="1"/>
  <c r="AJ112" i="9" s="1"/>
  <c r="AK112" i="9" s="1"/>
  <c r="AF112" i="9"/>
  <c r="AG112" i="9"/>
  <c r="AE113" i="9"/>
  <c r="AF113" i="9"/>
  <c r="AG113" i="9"/>
  <c r="AE114" i="9"/>
  <c r="AF114" i="9"/>
  <c r="AG114" i="9"/>
  <c r="AE115" i="9"/>
  <c r="AF115" i="9"/>
  <c r="AH115" i="9" s="1"/>
  <c r="AJ115" i="9" s="1"/>
  <c r="AK115" i="9" s="1"/>
  <c r="AG115" i="9"/>
  <c r="AE116" i="9"/>
  <c r="AF116" i="9"/>
  <c r="AG116" i="9"/>
  <c r="AE117" i="9"/>
  <c r="AF117" i="9"/>
  <c r="AG117" i="9"/>
  <c r="AE118" i="9"/>
  <c r="AF118" i="9"/>
  <c r="AG118" i="9"/>
  <c r="AE119" i="9"/>
  <c r="AH119" i="9" s="1"/>
  <c r="AF119" i="9"/>
  <c r="AG119" i="9"/>
  <c r="AE120" i="9"/>
  <c r="AF120" i="9"/>
  <c r="AG120" i="9"/>
  <c r="AE121" i="9"/>
  <c r="AH121" i="9" s="1"/>
  <c r="AJ121" i="9" s="1"/>
  <c r="AK121" i="9" s="1"/>
  <c r="AF121" i="9"/>
  <c r="AG121" i="9"/>
  <c r="AE122" i="9"/>
  <c r="AF122" i="9"/>
  <c r="AG122" i="9"/>
  <c r="AE123" i="9"/>
  <c r="AH123" i="9" s="1"/>
  <c r="AI123" i="9" s="1"/>
  <c r="AF123" i="9"/>
  <c r="AG123" i="9"/>
  <c r="AE124" i="9"/>
  <c r="AF124" i="9"/>
  <c r="AH124" i="9" s="1"/>
  <c r="AG124" i="9"/>
  <c r="AE125" i="9"/>
  <c r="AF125" i="9"/>
  <c r="AG125" i="9"/>
  <c r="AE126" i="9"/>
  <c r="AF126" i="9"/>
  <c r="AH126" i="9" s="1"/>
  <c r="AG126" i="9"/>
  <c r="AE127" i="9"/>
  <c r="AF127" i="9"/>
  <c r="AG127" i="9"/>
  <c r="AE128" i="9"/>
  <c r="AF128" i="9"/>
  <c r="AG128" i="9"/>
  <c r="AE129" i="9"/>
  <c r="AF129" i="9"/>
  <c r="AG129" i="9"/>
  <c r="AH129" i="9" s="1"/>
  <c r="AE130" i="9"/>
  <c r="AF130" i="9"/>
  <c r="AG130" i="9"/>
  <c r="AE131" i="9"/>
  <c r="AF131" i="9"/>
  <c r="AG131" i="9"/>
  <c r="AE132" i="9"/>
  <c r="AH132" i="9" s="1"/>
  <c r="AI132" i="9" s="1"/>
  <c r="AF132" i="9"/>
  <c r="AG132" i="9"/>
  <c r="AE133" i="9"/>
  <c r="AF133" i="9"/>
  <c r="AG133" i="9"/>
  <c r="AE134" i="9"/>
  <c r="AF134" i="9"/>
  <c r="AG134" i="9"/>
  <c r="AE135" i="9"/>
  <c r="AH135" i="9" s="1"/>
  <c r="AF135" i="9"/>
  <c r="AG135" i="9"/>
  <c r="AE136" i="9"/>
  <c r="AF136" i="9"/>
  <c r="AG136" i="9"/>
  <c r="AE137" i="9"/>
  <c r="AH137" i="9" s="1"/>
  <c r="AI137" i="9" s="1"/>
  <c r="AF137" i="9"/>
  <c r="AG137" i="9"/>
  <c r="AE138" i="9"/>
  <c r="AF138" i="9"/>
  <c r="AG138" i="9"/>
  <c r="AE139" i="9"/>
  <c r="AF139" i="9"/>
  <c r="AG139" i="9"/>
  <c r="AE140" i="9"/>
  <c r="AF140" i="9"/>
  <c r="AH140" i="9" s="1"/>
  <c r="AG140" i="9"/>
  <c r="AE141" i="9"/>
  <c r="AH141" i="9" s="1"/>
  <c r="AI141" i="9" s="1"/>
  <c r="AF141" i="9"/>
  <c r="AG141" i="9"/>
  <c r="AE142" i="9"/>
  <c r="AF142" i="9"/>
  <c r="AG142" i="9"/>
  <c r="AE143" i="9"/>
  <c r="AF143" i="9"/>
  <c r="AG143" i="9"/>
  <c r="AE144" i="9"/>
  <c r="AH144" i="9" s="1"/>
  <c r="AF144" i="9"/>
  <c r="AG144" i="9"/>
  <c r="AE145" i="9"/>
  <c r="AF145" i="9"/>
  <c r="AG145" i="9"/>
  <c r="AE146" i="9"/>
  <c r="AF146" i="9"/>
  <c r="AG146" i="9"/>
  <c r="AE147" i="9"/>
  <c r="AF147" i="9"/>
  <c r="AG147" i="9"/>
  <c r="AE148" i="9"/>
  <c r="AH148" i="9" s="1"/>
  <c r="AF148" i="9"/>
  <c r="AG148" i="9"/>
  <c r="AE149" i="9"/>
  <c r="AH149" i="9" s="1"/>
  <c r="AI149" i="9" s="1"/>
  <c r="AF149" i="9"/>
  <c r="AG149" i="9"/>
  <c r="AE150" i="9"/>
  <c r="AF150" i="9"/>
  <c r="AH150" i="9" s="1"/>
  <c r="AG150" i="9"/>
  <c r="AE151" i="9"/>
  <c r="AF151" i="9"/>
  <c r="AG151" i="9"/>
  <c r="AE152" i="9"/>
  <c r="AF152" i="9"/>
  <c r="AH152" i="9" s="1"/>
  <c r="AG152" i="9"/>
  <c r="AE153" i="9"/>
  <c r="AF153" i="9"/>
  <c r="AH153" i="9" s="1"/>
  <c r="AG153" i="9"/>
  <c r="AE154" i="9"/>
  <c r="AF154" i="9"/>
  <c r="AG154" i="9"/>
  <c r="AE155" i="9"/>
  <c r="AF155" i="9"/>
  <c r="AG155" i="9"/>
  <c r="AE156" i="9"/>
  <c r="AF156" i="9"/>
  <c r="AG156" i="9"/>
  <c r="AE157" i="9"/>
  <c r="AF157" i="9"/>
  <c r="AG157" i="9"/>
  <c r="AE158" i="9"/>
  <c r="AH158" i="9" s="1"/>
  <c r="AJ158" i="9" s="1"/>
  <c r="AK158" i="9" s="1"/>
  <c r="AF158" i="9"/>
  <c r="AG158" i="9"/>
  <c r="AE159" i="9"/>
  <c r="AH159" i="9" s="1"/>
  <c r="AF159" i="9"/>
  <c r="AG159" i="9"/>
  <c r="AE160" i="9"/>
  <c r="AH160" i="9" s="1"/>
  <c r="AI160" i="9" s="1"/>
  <c r="AF160" i="9"/>
  <c r="AG160" i="9"/>
  <c r="AE161" i="9"/>
  <c r="AF161" i="9"/>
  <c r="AG161" i="9"/>
  <c r="AE162" i="9"/>
  <c r="AF162" i="9"/>
  <c r="AG162" i="9"/>
  <c r="AE163" i="9"/>
  <c r="AF163" i="9"/>
  <c r="AG163" i="9"/>
  <c r="AE164" i="9"/>
  <c r="AH164" i="9" s="1"/>
  <c r="AF164" i="9"/>
  <c r="AG164" i="9"/>
  <c r="AE165" i="9"/>
  <c r="AF165" i="9"/>
  <c r="AG165" i="9"/>
  <c r="AE166" i="9"/>
  <c r="AF166" i="9"/>
  <c r="AG166" i="9"/>
  <c r="AE167" i="9"/>
  <c r="AF167" i="9"/>
  <c r="AG167" i="9"/>
  <c r="AE168" i="9"/>
  <c r="AH168" i="9" s="1"/>
  <c r="AF168" i="9"/>
  <c r="AG168" i="9"/>
  <c r="AE169" i="9"/>
  <c r="AH169" i="9" s="1"/>
  <c r="AF169" i="9"/>
  <c r="AG169" i="9"/>
  <c r="AE170" i="9"/>
  <c r="AF170" i="9"/>
  <c r="AG170" i="9"/>
  <c r="AH170" i="9" s="1"/>
  <c r="AJ170" i="9" s="1"/>
  <c r="AK170" i="9" s="1"/>
  <c r="AE171" i="9"/>
  <c r="AF171" i="9"/>
  <c r="AH171" i="9" s="1"/>
  <c r="AG171" i="9"/>
  <c r="AE172" i="9"/>
  <c r="AF172" i="9"/>
  <c r="AG172" i="9"/>
  <c r="AE173" i="9"/>
  <c r="AF173" i="9"/>
  <c r="AG173" i="9"/>
  <c r="AE174" i="9"/>
  <c r="AH174" i="9" s="1"/>
  <c r="AF174" i="9"/>
  <c r="AG174" i="9"/>
  <c r="AE175" i="9"/>
  <c r="AF175" i="9"/>
  <c r="AG175" i="9"/>
  <c r="AE176" i="9"/>
  <c r="AF176" i="9"/>
  <c r="AG176" i="9"/>
  <c r="AE177" i="9"/>
  <c r="AH177" i="9" s="1"/>
  <c r="AF177" i="9"/>
  <c r="AG177" i="9"/>
  <c r="AE178" i="9"/>
  <c r="AH178" i="9" s="1"/>
  <c r="AF178" i="9"/>
  <c r="AG178" i="9"/>
  <c r="AE179" i="9"/>
  <c r="AF179" i="9"/>
  <c r="AH179" i="9" s="1"/>
  <c r="AG179" i="9"/>
  <c r="AE180" i="9"/>
  <c r="AH180" i="9" s="1"/>
  <c r="AF180" i="9"/>
  <c r="AG180" i="9"/>
  <c r="AE181" i="9"/>
  <c r="AH181" i="9" s="1"/>
  <c r="AI181" i="9" s="1"/>
  <c r="AF181" i="9"/>
  <c r="AG181" i="9"/>
  <c r="AE182" i="9"/>
  <c r="AF182" i="9"/>
  <c r="AG182" i="9"/>
  <c r="AE183" i="9"/>
  <c r="AF183" i="9"/>
  <c r="AG183" i="9"/>
  <c r="AE184" i="9"/>
  <c r="AF184" i="9"/>
  <c r="AG184" i="9"/>
  <c r="AE185" i="9"/>
  <c r="AF185" i="9"/>
  <c r="AG185" i="9"/>
  <c r="AE186" i="9"/>
  <c r="AF186" i="9"/>
  <c r="AG186" i="9"/>
  <c r="AH186" i="9" s="1"/>
  <c r="AI186" i="9" s="1"/>
  <c r="AE187" i="9"/>
  <c r="AH187" i="9" s="1"/>
  <c r="AF187" i="9"/>
  <c r="AG187" i="9"/>
  <c r="AE188" i="9"/>
  <c r="AF188" i="9"/>
  <c r="AG188" i="9"/>
  <c r="AE189" i="9"/>
  <c r="AF189" i="9"/>
  <c r="AG189" i="9"/>
  <c r="AE190" i="9"/>
  <c r="AF190" i="9"/>
  <c r="AG190" i="9"/>
  <c r="AE191" i="9"/>
  <c r="AH191" i="9" s="1"/>
  <c r="AF191" i="9"/>
  <c r="AG191" i="9"/>
  <c r="AE192" i="9"/>
  <c r="AF192" i="9"/>
  <c r="AH192" i="9" s="1"/>
  <c r="AG192" i="9"/>
  <c r="AE193" i="9"/>
  <c r="AF193" i="9"/>
  <c r="AG193" i="9"/>
  <c r="AE194" i="9"/>
  <c r="AF194" i="9"/>
  <c r="AG194" i="9"/>
  <c r="AE195" i="9"/>
  <c r="AH195" i="9" s="1"/>
  <c r="AF195" i="9"/>
  <c r="AG195" i="9"/>
  <c r="AE196" i="9"/>
  <c r="AF196" i="9"/>
  <c r="AG196" i="9"/>
  <c r="AE197" i="9"/>
  <c r="AF197" i="9"/>
  <c r="AG197" i="9"/>
  <c r="AE198" i="9"/>
  <c r="AF198" i="9"/>
  <c r="AG198" i="9"/>
  <c r="AE199" i="9"/>
  <c r="AF199" i="9"/>
  <c r="AG199" i="9"/>
  <c r="AE200" i="9"/>
  <c r="AF200" i="9"/>
  <c r="AG200" i="9"/>
  <c r="AE201" i="9"/>
  <c r="AF201" i="9"/>
  <c r="AG201" i="9"/>
  <c r="AH201" i="9" s="1"/>
  <c r="AE202" i="9"/>
  <c r="AF202" i="9"/>
  <c r="AG202" i="9"/>
  <c r="AH202" i="9" s="1"/>
  <c r="AJ202" i="9" s="1"/>
  <c r="AK202" i="9" s="1"/>
  <c r="AE203" i="9"/>
  <c r="AF203" i="9"/>
  <c r="AG203" i="9"/>
  <c r="AE204" i="9"/>
  <c r="AH204" i="9" s="1"/>
  <c r="AF204" i="9"/>
  <c r="AG204" i="9"/>
  <c r="AE205" i="9"/>
  <c r="AF205" i="9"/>
  <c r="AG205" i="9"/>
  <c r="AE206" i="9"/>
  <c r="AF206" i="9"/>
  <c r="AG206" i="9"/>
  <c r="AE207" i="9"/>
  <c r="AH207" i="9" s="1"/>
  <c r="AF207" i="9"/>
  <c r="AG207" i="9"/>
  <c r="AE208" i="9"/>
  <c r="AF208" i="9"/>
  <c r="AG208" i="9"/>
  <c r="AE209" i="9"/>
  <c r="AF209" i="9"/>
  <c r="AG209" i="9"/>
  <c r="AE210" i="9"/>
  <c r="AF210" i="9"/>
  <c r="AG210" i="9"/>
  <c r="AE211" i="9"/>
  <c r="AF211" i="9"/>
  <c r="AG211" i="9"/>
  <c r="AE212" i="9"/>
  <c r="AF212" i="9"/>
  <c r="AH212" i="9" s="1"/>
  <c r="AI212" i="9" s="1"/>
  <c r="AG212" i="9"/>
  <c r="AE213" i="9"/>
  <c r="AH213" i="9" s="1"/>
  <c r="AI213" i="9" s="1"/>
  <c r="AF213" i="9"/>
  <c r="AG213" i="9"/>
  <c r="AE214" i="9"/>
  <c r="AF214" i="9"/>
  <c r="AG214" i="9"/>
  <c r="AH214" i="9" s="1"/>
  <c r="AE215" i="9"/>
  <c r="AF215" i="9"/>
  <c r="AG215" i="9"/>
  <c r="AE216" i="9"/>
  <c r="AH216" i="9" s="1"/>
  <c r="AF216" i="9"/>
  <c r="AG216" i="9"/>
  <c r="AE217" i="9"/>
  <c r="AH217" i="9" s="1"/>
  <c r="AF217" i="9"/>
  <c r="AG217" i="9"/>
  <c r="AE218" i="9"/>
  <c r="AF218" i="9"/>
  <c r="AG218" i="9"/>
  <c r="AE219" i="9"/>
  <c r="AF219" i="9"/>
  <c r="AG219" i="9"/>
  <c r="AE220" i="9"/>
  <c r="AF220" i="9"/>
  <c r="AH220" i="9" s="1"/>
  <c r="AG220" i="9"/>
  <c r="AE221" i="9"/>
  <c r="AF221" i="9"/>
  <c r="AG221" i="9"/>
  <c r="AE222" i="9"/>
  <c r="AF222" i="9"/>
  <c r="AG222" i="9"/>
  <c r="AH222" i="9" s="1"/>
  <c r="AE223" i="9"/>
  <c r="AH223" i="9" s="1"/>
  <c r="AJ223" i="9" s="1"/>
  <c r="AK223" i="9" s="1"/>
  <c r="AF223" i="9"/>
  <c r="AG223" i="9"/>
  <c r="AE224" i="9"/>
  <c r="AF224" i="9"/>
  <c r="AG224" i="9"/>
  <c r="AE225" i="9"/>
  <c r="AF225" i="9"/>
  <c r="AG225" i="9"/>
  <c r="AE226" i="9"/>
  <c r="AF226" i="9"/>
  <c r="AG226" i="9"/>
  <c r="AE227" i="9"/>
  <c r="AF227" i="9"/>
  <c r="AG227" i="9"/>
  <c r="AE228" i="9"/>
  <c r="AF228" i="9"/>
  <c r="AG228" i="9"/>
  <c r="AE229" i="9"/>
  <c r="AF229" i="9"/>
  <c r="AG229" i="9"/>
  <c r="AE230" i="9"/>
  <c r="AH230" i="9" s="1"/>
  <c r="AF230" i="9"/>
  <c r="AG230" i="9"/>
  <c r="AE231" i="9"/>
  <c r="AF231" i="9"/>
  <c r="AG231" i="9"/>
  <c r="AH231" i="9"/>
  <c r="AI231" i="9" s="1"/>
  <c r="AE232" i="9"/>
  <c r="AH232" i="9" s="1"/>
  <c r="AF232" i="9"/>
  <c r="AG232" i="9"/>
  <c r="AE233" i="9"/>
  <c r="AH233" i="9" s="1"/>
  <c r="AJ233" i="9" s="1"/>
  <c r="AK233" i="9" s="1"/>
  <c r="AF233" i="9"/>
  <c r="AG233" i="9"/>
  <c r="AE234" i="9"/>
  <c r="AF234" i="9"/>
  <c r="AG234" i="9"/>
  <c r="AE235" i="9"/>
  <c r="AH235" i="9" s="1"/>
  <c r="AF235" i="9"/>
  <c r="AG235" i="9"/>
  <c r="AE236" i="9"/>
  <c r="AF236" i="9"/>
  <c r="AH236" i="9" s="1"/>
  <c r="AG236" i="9"/>
  <c r="AE237" i="9"/>
  <c r="AF237" i="9"/>
  <c r="AG237" i="9"/>
  <c r="AE238" i="9"/>
  <c r="AF238" i="9"/>
  <c r="AG238" i="9"/>
  <c r="AE239" i="9"/>
  <c r="AF239" i="9"/>
  <c r="AG239" i="9"/>
  <c r="AE240" i="9"/>
  <c r="AF240" i="9"/>
  <c r="AG240" i="9"/>
  <c r="AE241" i="9"/>
  <c r="AF241" i="9"/>
  <c r="AG241" i="9"/>
  <c r="AE242" i="9"/>
  <c r="AF242" i="9"/>
  <c r="AG242" i="9"/>
  <c r="AE243" i="9"/>
  <c r="AF243" i="9"/>
  <c r="AG243" i="9"/>
  <c r="AE244" i="9"/>
  <c r="AF244" i="9"/>
  <c r="AG244" i="9"/>
  <c r="AG8" i="9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6" i="2"/>
  <c r="K97" i="2"/>
  <c r="K98" i="2"/>
  <c r="K99" i="2"/>
  <c r="K100" i="2"/>
  <c r="K101" i="2"/>
  <c r="K102" i="2"/>
  <c r="K104" i="2"/>
  <c r="K105" i="2"/>
  <c r="K106" i="2"/>
  <c r="K107" i="2"/>
  <c r="K108" i="2"/>
  <c r="K109" i="2"/>
  <c r="K110" i="2"/>
  <c r="K112" i="2"/>
  <c r="K113" i="2"/>
  <c r="K114" i="2"/>
  <c r="K115" i="2"/>
  <c r="K116" i="2"/>
  <c r="K117" i="2"/>
  <c r="K120" i="2"/>
  <c r="K121" i="2"/>
  <c r="K122" i="2"/>
  <c r="K123" i="2"/>
  <c r="K124" i="2"/>
  <c r="K125" i="2"/>
  <c r="K126" i="2"/>
  <c r="K128" i="2"/>
  <c r="K129" i="2"/>
  <c r="K130" i="2"/>
  <c r="K131" i="2"/>
  <c r="K132" i="2"/>
  <c r="K133" i="2"/>
  <c r="K134" i="2"/>
  <c r="K136" i="2"/>
  <c r="K137" i="2"/>
  <c r="K138" i="2"/>
  <c r="K139" i="2"/>
  <c r="K140" i="2"/>
  <c r="K141" i="2"/>
  <c r="K142" i="2"/>
  <c r="K144" i="2"/>
  <c r="K145" i="2"/>
  <c r="K146" i="2"/>
  <c r="K147" i="2"/>
  <c r="K148" i="2"/>
  <c r="K149" i="2"/>
  <c r="K152" i="2"/>
  <c r="K153" i="2"/>
  <c r="K154" i="2"/>
  <c r="K155" i="2"/>
  <c r="K156" i="2"/>
  <c r="K157" i="2"/>
  <c r="K158" i="2"/>
  <c r="K160" i="2"/>
  <c r="K161" i="2"/>
  <c r="K162" i="2"/>
  <c r="K163" i="2"/>
  <c r="K164" i="2"/>
  <c r="K165" i="2"/>
  <c r="K166" i="2"/>
  <c r="K168" i="2"/>
  <c r="K169" i="2"/>
  <c r="K170" i="2"/>
  <c r="K171" i="2"/>
  <c r="K172" i="2"/>
  <c r="K173" i="2"/>
  <c r="K174" i="2"/>
  <c r="K176" i="2"/>
  <c r="K177" i="2"/>
  <c r="K178" i="2"/>
  <c r="K179" i="2"/>
  <c r="K180" i="2"/>
  <c r="K181" i="2"/>
  <c r="K184" i="2"/>
  <c r="K185" i="2"/>
  <c r="K186" i="2"/>
  <c r="K187" i="2"/>
  <c r="K188" i="2"/>
  <c r="K189" i="2"/>
  <c r="K190" i="2"/>
  <c r="K192" i="2"/>
  <c r="K193" i="2"/>
  <c r="K194" i="2"/>
  <c r="K195" i="2"/>
  <c r="K196" i="2"/>
  <c r="K197" i="2"/>
  <c r="K198" i="2"/>
  <c r="K200" i="2"/>
  <c r="K201" i="2"/>
  <c r="K202" i="2"/>
  <c r="K203" i="2"/>
  <c r="K204" i="2"/>
  <c r="K205" i="2"/>
  <c r="AH57" i="1"/>
  <c r="AD57" i="1"/>
  <c r="AB57" i="1"/>
  <c r="V57" i="1"/>
  <c r="AH56" i="1"/>
  <c r="AD56" i="1"/>
  <c r="AB56" i="1"/>
  <c r="V56" i="1"/>
  <c r="AH55" i="1"/>
  <c r="AD55" i="1"/>
  <c r="AB55" i="1"/>
  <c r="V55" i="1"/>
  <c r="AH54" i="1"/>
  <c r="AD54" i="1"/>
  <c r="AB54" i="1"/>
  <c r="V54" i="1"/>
  <c r="AH53" i="1"/>
  <c r="AD53" i="1"/>
  <c r="AB53" i="1"/>
  <c r="V53" i="1"/>
  <c r="AH52" i="1"/>
  <c r="AD52" i="1"/>
  <c r="AB52" i="1"/>
  <c r="V52" i="1"/>
  <c r="AH51" i="1"/>
  <c r="AD51" i="1"/>
  <c r="AB51" i="1"/>
  <c r="V51" i="1"/>
  <c r="AH50" i="1"/>
  <c r="AD50" i="1"/>
  <c r="AB50" i="1"/>
  <c r="V50" i="1"/>
  <c r="AH49" i="1"/>
  <c r="AD49" i="1"/>
  <c r="AB49" i="1"/>
  <c r="V49" i="1"/>
  <c r="AH48" i="1"/>
  <c r="AD48" i="1"/>
  <c r="AB48" i="1"/>
  <c r="V48" i="1"/>
  <c r="AH47" i="1"/>
  <c r="AD47" i="1"/>
  <c r="AB47" i="1"/>
  <c r="V47" i="1"/>
  <c r="AH46" i="1"/>
  <c r="AD46" i="1"/>
  <c r="AB46" i="1"/>
  <c r="V46" i="1"/>
  <c r="AH45" i="1"/>
  <c r="AD45" i="1"/>
  <c r="AB45" i="1"/>
  <c r="V45" i="1"/>
  <c r="AH44" i="1"/>
  <c r="AD44" i="1"/>
  <c r="AB44" i="1"/>
  <c r="V44" i="1"/>
  <c r="AH43" i="1"/>
  <c r="AD43" i="1"/>
  <c r="AB43" i="1"/>
  <c r="V43" i="1"/>
  <c r="AH42" i="1"/>
  <c r="AD42" i="1"/>
  <c r="AB42" i="1"/>
  <c r="V42" i="1"/>
  <c r="AH41" i="1"/>
  <c r="AD41" i="1"/>
  <c r="AB41" i="1"/>
  <c r="V41" i="1"/>
  <c r="AH40" i="1"/>
  <c r="AD40" i="1"/>
  <c r="AB40" i="1"/>
  <c r="V40" i="1"/>
  <c r="AH39" i="1"/>
  <c r="AD39" i="1"/>
  <c r="AB39" i="1"/>
  <c r="V39" i="1"/>
  <c r="AH38" i="1"/>
  <c r="AD38" i="1"/>
  <c r="AB38" i="1"/>
  <c r="V38" i="1"/>
  <c r="AH37" i="1"/>
  <c r="AD37" i="1"/>
  <c r="AB37" i="1"/>
  <c r="V37" i="1"/>
  <c r="AH36" i="1"/>
  <c r="AD36" i="1"/>
  <c r="AB36" i="1"/>
  <c r="V36" i="1"/>
  <c r="AH35" i="1"/>
  <c r="AD35" i="1"/>
  <c r="AB35" i="1"/>
  <c r="V35" i="1"/>
  <c r="AH34" i="1"/>
  <c r="AD34" i="1"/>
  <c r="AB34" i="1"/>
  <c r="V34" i="1"/>
  <c r="AH33" i="1"/>
  <c r="AD33" i="1"/>
  <c r="AB33" i="1"/>
  <c r="V33" i="1"/>
  <c r="AH32" i="1"/>
  <c r="AD32" i="1"/>
  <c r="AB32" i="1"/>
  <c r="V32" i="1"/>
  <c r="AH31" i="1"/>
  <c r="AD31" i="1"/>
  <c r="AB31" i="1"/>
  <c r="V31" i="1"/>
  <c r="AH30" i="1"/>
  <c r="AD30" i="1"/>
  <c r="AB30" i="1"/>
  <c r="V30" i="1"/>
  <c r="AH29" i="1"/>
  <c r="AD29" i="1"/>
  <c r="AB29" i="1"/>
  <c r="V29" i="1"/>
  <c r="AH28" i="1"/>
  <c r="AD28" i="1"/>
  <c r="AB28" i="1"/>
  <c r="V28" i="1"/>
  <c r="AH27" i="1"/>
  <c r="AD27" i="1"/>
  <c r="AB27" i="1"/>
  <c r="V27" i="1"/>
  <c r="AH26" i="1"/>
  <c r="AD26" i="1"/>
  <c r="AB26" i="1"/>
  <c r="V26" i="1"/>
  <c r="AH25" i="1"/>
  <c r="AD25" i="1"/>
  <c r="AB25" i="1"/>
  <c r="V25" i="1"/>
  <c r="AH24" i="1"/>
  <c r="AD24" i="1"/>
  <c r="AB24" i="1"/>
  <c r="V24" i="1"/>
  <c r="AH23" i="1"/>
  <c r="AD23" i="1"/>
  <c r="AB23" i="1"/>
  <c r="V23" i="1"/>
  <c r="AH22" i="1"/>
  <c r="AD22" i="1"/>
  <c r="AB22" i="1"/>
  <c r="V22" i="1"/>
  <c r="AH21" i="1"/>
  <c r="AD21" i="1"/>
  <c r="AB21" i="1"/>
  <c r="V21" i="1"/>
  <c r="AD20" i="1"/>
  <c r="AB20" i="1"/>
  <c r="R20" i="1"/>
  <c r="AD19" i="1"/>
  <c r="AB19" i="1"/>
  <c r="R19" i="1"/>
  <c r="AD18" i="1"/>
  <c r="AB18" i="1"/>
  <c r="R18" i="1"/>
  <c r="AH9" i="9"/>
  <c r="AI9" i="9" s="1"/>
  <c r="AH11" i="9"/>
  <c r="AI11" i="9" s="1"/>
  <c r="AH12" i="9"/>
  <c r="AJ12" i="9" s="1"/>
  <c r="AK12" i="9" s="1"/>
  <c r="AH14" i="9"/>
  <c r="AJ14" i="9" s="1"/>
  <c r="AK14" i="9" s="1"/>
  <c r="AH16" i="9"/>
  <c r="AJ16" i="9" s="1"/>
  <c r="AK16" i="9" s="1"/>
  <c r="AI16" i="9"/>
  <c r="AH19" i="9"/>
  <c r="AJ19" i="9" s="1"/>
  <c r="AK19" i="9" s="1"/>
  <c r="AH20" i="9"/>
  <c r="AH22" i="9"/>
  <c r="AI22" i="9" s="1"/>
  <c r="AH25" i="9"/>
  <c r="AI25" i="9" s="1"/>
  <c r="AH28" i="9"/>
  <c r="AJ28" i="9" s="1"/>
  <c r="AK28" i="9" s="1"/>
  <c r="AH32" i="9"/>
  <c r="AJ32" i="9" s="1"/>
  <c r="AK32" i="9" s="1"/>
  <c r="AH35" i="9"/>
  <c r="AJ36" i="9"/>
  <c r="AK36" i="9" s="1"/>
  <c r="AH38" i="9"/>
  <c r="AJ38" i="9" s="1"/>
  <c r="AK38" i="9" s="1"/>
  <c r="AH60" i="9"/>
  <c r="AH62" i="9"/>
  <c r="AJ62" i="9" s="1"/>
  <c r="AK62" i="9" s="1"/>
  <c r="AH64" i="9"/>
  <c r="AJ64" i="9" s="1"/>
  <c r="AK64" i="9" s="1"/>
  <c r="AH73" i="9"/>
  <c r="AI73" i="9" s="1"/>
  <c r="AH75" i="9"/>
  <c r="AJ75" i="9" s="1"/>
  <c r="AK75" i="9" s="1"/>
  <c r="AH76" i="9"/>
  <c r="AI76" i="9" s="1"/>
  <c r="AH84" i="9"/>
  <c r="AH91" i="9"/>
  <c r="AI91" i="9" s="1"/>
  <c r="AJ91" i="9"/>
  <c r="AK91" i="9" s="1"/>
  <c r="AH92" i="9"/>
  <c r="AH94" i="9"/>
  <c r="AJ94" i="9" s="1"/>
  <c r="AK94" i="9" s="1"/>
  <c r="AH116" i="9"/>
  <c r="AJ116" i="9" s="1"/>
  <c r="AK116" i="9" s="1"/>
  <c r="AH120" i="9"/>
  <c r="AI120" i="9" s="1"/>
  <c r="AH142" i="9"/>
  <c r="AI142" i="9" s="1"/>
  <c r="AH147" i="9"/>
  <c r="AJ147" i="9" s="1"/>
  <c r="AK147" i="9" s="1"/>
  <c r="AH163" i="9"/>
  <c r="AH166" i="9"/>
  <c r="AJ166" i="9" s="1"/>
  <c r="AK166" i="9" s="1"/>
  <c r="AH182" i="9"/>
  <c r="AI182" i="9" s="1"/>
  <c r="AH185" i="9"/>
  <c r="AJ185" i="9" s="1"/>
  <c r="AK185" i="9" s="1"/>
  <c r="AH188" i="9"/>
  <c r="AJ188" i="9" s="1"/>
  <c r="AK188" i="9" s="1"/>
  <c r="AH208" i="9"/>
  <c r="AI208" i="9" s="1"/>
  <c r="AJ208" i="9"/>
  <c r="AK208" i="9" s="1"/>
  <c r="AH209" i="9"/>
  <c r="AH225" i="9"/>
  <c r="AI225" i="9" s="1"/>
  <c r="AH227" i="9"/>
  <c r="AJ227" i="9" s="1"/>
  <c r="AK227" i="9" s="1"/>
  <c r="AH243" i="9"/>
  <c r="AI243" i="9" s="1"/>
  <c r="AH244" i="9"/>
  <c r="AI244" i="9" s="1"/>
  <c r="AE8" i="9"/>
  <c r="AF8" i="9"/>
  <c r="AI14" i="9"/>
  <c r="AI64" i="9"/>
  <c r="H16" i="6"/>
  <c r="G16" i="6"/>
  <c r="F16" i="6"/>
  <c r="E16" i="6"/>
  <c r="AD17" i="1"/>
  <c r="AD16" i="1"/>
  <c r="R17" i="1"/>
  <c r="R16" i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K16" i="2"/>
  <c r="R16" i="2"/>
  <c r="Q16" i="4"/>
  <c r="AD12" i="2"/>
  <c r="AJ10" i="9"/>
  <c r="AK10" i="9" s="1"/>
  <c r="AJ58" i="9"/>
  <c r="AK58" i="9" s="1"/>
  <c r="AJ29" i="9"/>
  <c r="AK29" i="9" s="1"/>
  <c r="AJ181" i="9"/>
  <c r="AK181" i="9" s="1"/>
  <c r="AI23" i="9"/>
  <c r="AJ23" i="9"/>
  <c r="AK23" i="9" s="1"/>
  <c r="AJ123" i="9"/>
  <c r="AK123" i="9" s="1"/>
  <c r="AI12" i="9"/>
  <c r="AI158" i="9"/>
  <c r="AJ22" i="9"/>
  <c r="AK22" i="9" s="1"/>
  <c r="AJ192" i="9" l="1"/>
  <c r="AK192" i="9" s="1"/>
  <c r="AI192" i="9"/>
  <c r="AI152" i="9"/>
  <c r="AJ152" i="9"/>
  <c r="AK152" i="9" s="1"/>
  <c r="AJ235" i="9"/>
  <c r="AK235" i="9" s="1"/>
  <c r="AI235" i="9"/>
  <c r="AJ88" i="9"/>
  <c r="AK88" i="9" s="1"/>
  <c r="AI88" i="9"/>
  <c r="AI68" i="9"/>
  <c r="AJ68" i="9"/>
  <c r="AK68" i="9" s="1"/>
  <c r="AI195" i="9"/>
  <c r="AJ195" i="9"/>
  <c r="AK195" i="9" s="1"/>
  <c r="AI135" i="9"/>
  <c r="AJ135" i="9"/>
  <c r="AK135" i="9" s="1"/>
  <c r="AI15" i="9"/>
  <c r="AJ15" i="9"/>
  <c r="AK15" i="9" s="1"/>
  <c r="AJ148" i="9"/>
  <c r="AK148" i="9" s="1"/>
  <c r="AI148" i="9"/>
  <c r="AJ54" i="9"/>
  <c r="AK54" i="9" s="1"/>
  <c r="AI54" i="9"/>
  <c r="AJ124" i="9"/>
  <c r="AK124" i="9" s="1"/>
  <c r="AI124" i="9"/>
  <c r="AI67" i="9"/>
  <c r="AJ67" i="9"/>
  <c r="AK67" i="9" s="1"/>
  <c r="AJ24" i="9"/>
  <c r="AK24" i="9" s="1"/>
  <c r="AI24" i="9"/>
  <c r="AJ126" i="9"/>
  <c r="AK126" i="9" s="1"/>
  <c r="AI126" i="9"/>
  <c r="AJ63" i="9"/>
  <c r="AK63" i="9" s="1"/>
  <c r="AI63" i="9"/>
  <c r="AI52" i="9"/>
  <c r="AJ52" i="9"/>
  <c r="AK52" i="9" s="1"/>
  <c r="AJ26" i="9"/>
  <c r="AK26" i="9" s="1"/>
  <c r="AI26" i="9"/>
  <c r="AI178" i="9"/>
  <c r="AJ178" i="9"/>
  <c r="AK178" i="9" s="1"/>
  <c r="AJ174" i="9"/>
  <c r="AK174" i="9" s="1"/>
  <c r="AI174" i="9"/>
  <c r="AJ144" i="9"/>
  <c r="AK144" i="9" s="1"/>
  <c r="AI144" i="9"/>
  <c r="AJ104" i="9"/>
  <c r="AK104" i="9" s="1"/>
  <c r="AI104" i="9"/>
  <c r="AJ30" i="9"/>
  <c r="AK30" i="9" s="1"/>
  <c r="AI30" i="9"/>
  <c r="AI216" i="9"/>
  <c r="AJ216" i="9"/>
  <c r="AK216" i="9" s="1"/>
  <c r="AJ179" i="9"/>
  <c r="AK179" i="9" s="1"/>
  <c r="AI179" i="9"/>
  <c r="AJ59" i="9"/>
  <c r="AK59" i="9" s="1"/>
  <c r="AI59" i="9"/>
  <c r="AJ65" i="9"/>
  <c r="AK65" i="9" s="1"/>
  <c r="AI65" i="9"/>
  <c r="AI214" i="9"/>
  <c r="AJ214" i="9"/>
  <c r="AK214" i="9" s="1"/>
  <c r="AJ191" i="9"/>
  <c r="AK191" i="9" s="1"/>
  <c r="AI191" i="9"/>
  <c r="AJ31" i="9"/>
  <c r="AK31" i="9" s="1"/>
  <c r="AI31" i="9"/>
  <c r="AJ220" i="9"/>
  <c r="AK220" i="9" s="1"/>
  <c r="AI220" i="9"/>
  <c r="AJ217" i="9"/>
  <c r="AK217" i="9" s="1"/>
  <c r="AI217" i="9"/>
  <c r="AJ187" i="9"/>
  <c r="AK187" i="9" s="1"/>
  <c r="AI187" i="9"/>
  <c r="AJ150" i="9"/>
  <c r="AK150" i="9" s="1"/>
  <c r="AI150" i="9"/>
  <c r="AI140" i="9"/>
  <c r="AJ140" i="9"/>
  <c r="AK140" i="9" s="1"/>
  <c r="AJ47" i="9"/>
  <c r="AK47" i="9" s="1"/>
  <c r="AI47" i="9"/>
  <c r="AI37" i="9"/>
  <c r="AJ37" i="9"/>
  <c r="AK37" i="9" s="1"/>
  <c r="AJ222" i="9"/>
  <c r="AK222" i="9" s="1"/>
  <c r="AI222" i="9"/>
  <c r="AI86" i="9"/>
  <c r="AJ86" i="9"/>
  <c r="AK86" i="9" s="1"/>
  <c r="AJ232" i="9"/>
  <c r="AK232" i="9" s="1"/>
  <c r="AI232" i="9"/>
  <c r="AI119" i="9"/>
  <c r="AJ119" i="9"/>
  <c r="AK119" i="9" s="1"/>
  <c r="AI101" i="9"/>
  <c r="AJ101" i="9"/>
  <c r="AK101" i="9" s="1"/>
  <c r="AI230" i="9"/>
  <c r="AJ230" i="9"/>
  <c r="AK230" i="9" s="1"/>
  <c r="AJ180" i="9"/>
  <c r="AK180" i="9" s="1"/>
  <c r="AI180" i="9"/>
  <c r="AI153" i="9"/>
  <c r="AJ153" i="9"/>
  <c r="AK153" i="9" s="1"/>
  <c r="AI100" i="9"/>
  <c r="AJ100" i="9"/>
  <c r="AK100" i="9" s="1"/>
  <c r="AI80" i="9"/>
  <c r="AJ80" i="9"/>
  <c r="AK80" i="9" s="1"/>
  <c r="AJ70" i="9"/>
  <c r="AK70" i="9" s="1"/>
  <c r="AI70" i="9"/>
  <c r="AH13" i="9"/>
  <c r="AJ13" i="9" s="1"/>
  <c r="AK13" i="9" s="1"/>
  <c r="AJ76" i="9"/>
  <c r="AK76" i="9" s="1"/>
  <c r="AJ109" i="9"/>
  <c r="AK109" i="9" s="1"/>
  <c r="AI170" i="9"/>
  <c r="AJ182" i="9"/>
  <c r="AK182" i="9" s="1"/>
  <c r="AI19" i="9"/>
  <c r="AJ25" i="9"/>
  <c r="AK25" i="9" s="1"/>
  <c r="AH237" i="9"/>
  <c r="AH224" i="9"/>
  <c r="AJ224" i="9" s="1"/>
  <c r="AK224" i="9" s="1"/>
  <c r="AH211" i="9"/>
  <c r="AH172" i="9"/>
  <c r="AH162" i="9"/>
  <c r="AH139" i="9"/>
  <c r="AH107" i="9"/>
  <c r="AI107" i="9" s="1"/>
  <c r="AH103" i="9"/>
  <c r="AH74" i="9"/>
  <c r="AI74" i="9" s="1"/>
  <c r="AH41" i="9"/>
  <c r="AJ142" i="9"/>
  <c r="AK142" i="9" s="1"/>
  <c r="AJ186" i="9"/>
  <c r="AK186" i="9" s="1"/>
  <c r="AJ9" i="9"/>
  <c r="AK9" i="9" s="1"/>
  <c r="AH240" i="9"/>
  <c r="AH197" i="9"/>
  <c r="AH184" i="9"/>
  <c r="AH175" i="9"/>
  <c r="AI175" i="9" s="1"/>
  <c r="AH165" i="9"/>
  <c r="AH113" i="9"/>
  <c r="AI113" i="9" s="1"/>
  <c r="AH97" i="9"/>
  <c r="AJ97" i="9" s="1"/>
  <c r="AK97" i="9" s="1"/>
  <c r="AH87" i="9"/>
  <c r="AH77" i="9"/>
  <c r="AI166" i="9"/>
  <c r="AH190" i="9"/>
  <c r="AJ190" i="9" s="1"/>
  <c r="AK190" i="9" s="1"/>
  <c r="AH56" i="9"/>
  <c r="AH242" i="9"/>
  <c r="AH203" i="9"/>
  <c r="AI203" i="9" s="1"/>
  <c r="AH102" i="9"/>
  <c r="AJ102" i="9" s="1"/>
  <c r="AK102" i="9" s="1"/>
  <c r="AI116" i="9"/>
  <c r="AH200" i="9"/>
  <c r="AI200" i="9" s="1"/>
  <c r="AI202" i="9"/>
  <c r="AI188" i="9"/>
  <c r="AH8" i="9"/>
  <c r="AH193" i="9"/>
  <c r="AI193" i="9" s="1"/>
  <c r="AH161" i="9"/>
  <c r="AH151" i="9"/>
  <c r="AJ151" i="9" s="1"/>
  <c r="AK151" i="9" s="1"/>
  <c r="AH125" i="9"/>
  <c r="AJ125" i="9" s="1"/>
  <c r="AK125" i="9" s="1"/>
  <c r="AH106" i="9"/>
  <c r="AH93" i="9"/>
  <c r="AH43" i="9"/>
  <c r="AH21" i="9"/>
  <c r="AH55" i="9"/>
  <c r="AI55" i="9" s="1"/>
  <c r="AH183" i="9"/>
  <c r="AH229" i="9"/>
  <c r="AH89" i="9"/>
  <c r="AI89" i="9" s="1"/>
  <c r="AH79" i="9"/>
  <c r="AI79" i="9" s="1"/>
  <c r="AH219" i="9"/>
  <c r="AJ219" i="9" s="1"/>
  <c r="AK219" i="9" s="1"/>
  <c r="AH206" i="9"/>
  <c r="AI206" i="9" s="1"/>
  <c r="AH134" i="9"/>
  <c r="AI38" i="9"/>
  <c r="AH238" i="9"/>
  <c r="AH199" i="9"/>
  <c r="AI199" i="9" s="1"/>
  <c r="AH127" i="9"/>
  <c r="AH118" i="9"/>
  <c r="AI118" i="9" s="1"/>
  <c r="AH95" i="9"/>
  <c r="AI227" i="9"/>
  <c r="AI32" i="9"/>
  <c r="AH205" i="9"/>
  <c r="AH176" i="9"/>
  <c r="AI176" i="9" s="1"/>
  <c r="AH156" i="9"/>
  <c r="AH146" i="9"/>
  <c r="AH111" i="9"/>
  <c r="AH42" i="9"/>
  <c r="AJ164" i="9"/>
  <c r="AK164" i="9" s="1"/>
  <c r="AI164" i="9"/>
  <c r="AI156" i="9"/>
  <c r="AJ156" i="9"/>
  <c r="AK156" i="9" s="1"/>
  <c r="AJ118" i="9"/>
  <c r="AK118" i="9" s="1"/>
  <c r="AJ211" i="9"/>
  <c r="AK211" i="9" s="1"/>
  <c r="AI211" i="9"/>
  <c r="AJ213" i="9"/>
  <c r="AK213" i="9" s="1"/>
  <c r="AJ212" i="9"/>
  <c r="AK212" i="9" s="1"/>
  <c r="AJ200" i="9"/>
  <c r="AK200" i="9" s="1"/>
  <c r="AJ129" i="9"/>
  <c r="AK129" i="9" s="1"/>
  <c r="AI129" i="9"/>
  <c r="AJ92" i="9"/>
  <c r="AK92" i="9" s="1"/>
  <c r="AI92" i="9"/>
  <c r="AJ83" i="9"/>
  <c r="AK83" i="9" s="1"/>
  <c r="AI83" i="9"/>
  <c r="AH226" i="9"/>
  <c r="AJ226" i="9" s="1"/>
  <c r="AK226" i="9" s="1"/>
  <c r="AH221" i="9"/>
  <c r="AI221" i="9" s="1"/>
  <c r="AJ203" i="9"/>
  <c r="AK203" i="9" s="1"/>
  <c r="AI237" i="9"/>
  <c r="AJ237" i="9"/>
  <c r="AK237" i="9" s="1"/>
  <c r="AI172" i="9"/>
  <c r="AJ172" i="9"/>
  <c r="AK172" i="9" s="1"/>
  <c r="AI185" i="9"/>
  <c r="AI168" i="9"/>
  <c r="AJ168" i="9"/>
  <c r="AK168" i="9" s="1"/>
  <c r="AI207" i="9"/>
  <c r="AJ207" i="9"/>
  <c r="AK207" i="9" s="1"/>
  <c r="AI201" i="9"/>
  <c r="AJ201" i="9"/>
  <c r="AK201" i="9" s="1"/>
  <c r="AI94" i="9"/>
  <c r="AJ244" i="9"/>
  <c r="AK244" i="9" s="1"/>
  <c r="AJ209" i="9"/>
  <c r="AK209" i="9" s="1"/>
  <c r="AI209" i="9"/>
  <c r="AH189" i="9"/>
  <c r="AJ84" i="9"/>
  <c r="AK84" i="9" s="1"/>
  <c r="AI84" i="9"/>
  <c r="AI125" i="9"/>
  <c r="AI97" i="9"/>
  <c r="AJ35" i="9"/>
  <c r="AK35" i="9" s="1"/>
  <c r="AI35" i="9"/>
  <c r="AH71" i="9"/>
  <c r="AH61" i="9"/>
  <c r="AJ163" i="9"/>
  <c r="AK163" i="9" s="1"/>
  <c r="AI163" i="9"/>
  <c r="AJ137" i="9"/>
  <c r="AK137" i="9" s="1"/>
  <c r="AJ33" i="9"/>
  <c r="AK33" i="9" s="1"/>
  <c r="AI33" i="9"/>
  <c r="AJ11" i="9"/>
  <c r="AK11" i="9" s="1"/>
  <c r="AI238" i="9"/>
  <c r="AJ238" i="9"/>
  <c r="AK238" i="9" s="1"/>
  <c r="AJ177" i="9"/>
  <c r="AK177" i="9" s="1"/>
  <c r="AI177" i="9"/>
  <c r="AI147" i="9"/>
  <c r="AH138" i="9"/>
  <c r="AI138" i="9" s="1"/>
  <c r="AJ60" i="9"/>
  <c r="AK60" i="9" s="1"/>
  <c r="AI60" i="9"/>
  <c r="AJ231" i="9"/>
  <c r="AK231" i="9" s="1"/>
  <c r="AJ225" i="9"/>
  <c r="AK225" i="9" s="1"/>
  <c r="AJ204" i="9"/>
  <c r="AK204" i="9" s="1"/>
  <c r="AI204" i="9"/>
  <c r="AJ132" i="9"/>
  <c r="AK132" i="9" s="1"/>
  <c r="AJ40" i="9"/>
  <c r="AK40" i="9" s="1"/>
  <c r="AI159" i="9"/>
  <c r="AJ159" i="9"/>
  <c r="AK159" i="9" s="1"/>
  <c r="AH130" i="9"/>
  <c r="AJ199" i="9"/>
  <c r="AK199" i="9" s="1"/>
  <c r="AH198" i="9"/>
  <c r="AH98" i="9"/>
  <c r="AH234" i="9"/>
  <c r="AH157" i="9"/>
  <c r="AH154" i="9"/>
  <c r="AH51" i="9"/>
  <c r="AH48" i="9"/>
  <c r="AH128" i="9"/>
  <c r="AJ128" i="9" s="1"/>
  <c r="AK128" i="9" s="1"/>
  <c r="AH108" i="9"/>
  <c r="AJ108" i="9" s="1"/>
  <c r="AK108" i="9" s="1"/>
  <c r="AH105" i="9"/>
  <c r="AI105" i="9" s="1"/>
  <c r="AH90" i="9"/>
  <c r="AH85" i="9"/>
  <c r="AH82" i="9"/>
  <c r="AH69" i="9"/>
  <c r="AI69" i="9" s="1"/>
  <c r="AH66" i="9"/>
  <c r="AH53" i="9"/>
  <c r="AH17" i="9"/>
  <c r="AH50" i="9"/>
  <c r="AH45" i="9"/>
  <c r="AH34" i="9"/>
  <c r="AH78" i="9"/>
  <c r="AH114" i="9"/>
  <c r="AI43" i="9"/>
  <c r="AJ43" i="9"/>
  <c r="AK43" i="9" s="1"/>
  <c r="AJ111" i="9"/>
  <c r="AK111" i="9" s="1"/>
  <c r="AI111" i="9"/>
  <c r="AI190" i="9"/>
  <c r="AI233" i="9"/>
  <c r="AI81" i="9"/>
  <c r="AJ81" i="9"/>
  <c r="AK81" i="9" s="1"/>
  <c r="AJ49" i="9"/>
  <c r="AK49" i="9" s="1"/>
  <c r="AI49" i="9"/>
  <c r="AJ169" i="9"/>
  <c r="AK169" i="9" s="1"/>
  <c r="AI169" i="9"/>
  <c r="AH136" i="9"/>
  <c r="AH131" i="9"/>
  <c r="AI62" i="9"/>
  <c r="AI171" i="9"/>
  <c r="AJ171" i="9"/>
  <c r="AK171" i="9" s="1"/>
  <c r="AJ55" i="9"/>
  <c r="AK55" i="9" s="1"/>
  <c r="AJ149" i="9"/>
  <c r="AK149" i="9" s="1"/>
  <c r="AI223" i="9"/>
  <c r="AI121" i="9"/>
  <c r="AJ176" i="9"/>
  <c r="AK176" i="9" s="1"/>
  <c r="AH173" i="9"/>
  <c r="AJ141" i="9"/>
  <c r="AK141" i="9" s="1"/>
  <c r="AJ69" i="9"/>
  <c r="AK69" i="9" s="1"/>
  <c r="AH196" i="9"/>
  <c r="AI48" i="9"/>
  <c r="AJ48" i="9"/>
  <c r="AK48" i="9" s="1"/>
  <c r="AJ243" i="9"/>
  <c r="AK243" i="9" s="1"/>
  <c r="AJ73" i="9"/>
  <c r="AK73" i="9" s="1"/>
  <c r="AI20" i="9"/>
  <c r="AJ20" i="9"/>
  <c r="AK20" i="9" s="1"/>
  <c r="AJ44" i="9"/>
  <c r="AK44" i="9" s="1"/>
  <c r="AI44" i="9"/>
  <c r="AJ41" i="9"/>
  <c r="AK41" i="9" s="1"/>
  <c r="AI41" i="9"/>
  <c r="AI115" i="9"/>
  <c r="AI99" i="9"/>
  <c r="AI75" i="9"/>
  <c r="AI28" i="9"/>
  <c r="AJ120" i="9"/>
  <c r="AK120" i="9" s="1"/>
  <c r="AH228" i="9"/>
  <c r="AH143" i="9"/>
  <c r="AH133" i="9"/>
  <c r="AH110" i="9"/>
  <c r="AH46" i="9"/>
  <c r="AH18" i="9"/>
  <c r="AJ236" i="9"/>
  <c r="AK236" i="9" s="1"/>
  <c r="AI236" i="9"/>
  <c r="AJ72" i="9"/>
  <c r="AK72" i="9" s="1"/>
  <c r="AH145" i="9"/>
  <c r="AI112" i="9"/>
  <c r="AJ160" i="9"/>
  <c r="AK160" i="9" s="1"/>
  <c r="AI96" i="9"/>
  <c r="AH218" i="9"/>
  <c r="AH210" i="9"/>
  <c r="AH122" i="9"/>
  <c r="AH215" i="9"/>
  <c r="AH155" i="9"/>
  <c r="AH117" i="9"/>
  <c r="AJ57" i="9"/>
  <c r="AK57" i="9" s="1"/>
  <c r="AI57" i="9"/>
  <c r="AH239" i="9"/>
  <c r="AH167" i="9"/>
  <c r="AH27" i="9"/>
  <c r="AH241" i="9"/>
  <c r="AH194" i="9"/>
  <c r="AH39" i="9"/>
  <c r="AJ184" i="9" l="1"/>
  <c r="AK184" i="9" s="1"/>
  <c r="AI184" i="9"/>
  <c r="AJ56" i="9"/>
  <c r="AK56" i="9" s="1"/>
  <c r="AI56" i="9"/>
  <c r="AJ93" i="9"/>
  <c r="AK93" i="9" s="1"/>
  <c r="AI93" i="9"/>
  <c r="AI106" i="9"/>
  <c r="AJ106" i="9"/>
  <c r="AK106" i="9" s="1"/>
  <c r="AI103" i="9"/>
  <c r="AJ103" i="9"/>
  <c r="AK103" i="9" s="1"/>
  <c r="AI219" i="9"/>
  <c r="AJ74" i="9"/>
  <c r="AK74" i="9" s="1"/>
  <c r="AI102" i="9"/>
  <c r="AI162" i="9"/>
  <c r="AJ162" i="9"/>
  <c r="AK162" i="9" s="1"/>
  <c r="AJ138" i="9"/>
  <c r="AK138" i="9" s="1"/>
  <c r="AJ206" i="9"/>
  <c r="AK206" i="9" s="1"/>
  <c r="AJ229" i="9"/>
  <c r="AK229" i="9" s="1"/>
  <c r="AI229" i="9"/>
  <c r="AI240" i="9"/>
  <c r="AJ240" i="9"/>
  <c r="AK240" i="9" s="1"/>
  <c r="AJ242" i="9"/>
  <c r="AK242" i="9" s="1"/>
  <c r="AI242" i="9"/>
  <c r="AI165" i="9"/>
  <c r="AJ165" i="9"/>
  <c r="AK165" i="9" s="1"/>
  <c r="AJ107" i="9"/>
  <c r="AK107" i="9" s="1"/>
  <c r="AJ221" i="9"/>
  <c r="AK221" i="9" s="1"/>
  <c r="AJ161" i="9"/>
  <c r="AK161" i="9" s="1"/>
  <c r="AI161" i="9"/>
  <c r="AJ105" i="9"/>
  <c r="AK105" i="9" s="1"/>
  <c r="AJ79" i="9"/>
  <c r="AK79" i="9" s="1"/>
  <c r="AJ42" i="9"/>
  <c r="AK42" i="9" s="1"/>
  <c r="AI42" i="9"/>
  <c r="AI183" i="9"/>
  <c r="AJ183" i="9"/>
  <c r="AK183" i="9" s="1"/>
  <c r="AJ175" i="9"/>
  <c r="AK175" i="9" s="1"/>
  <c r="AI77" i="9"/>
  <c r="AJ77" i="9"/>
  <c r="AK77" i="9" s="1"/>
  <c r="AI13" i="9"/>
  <c r="AI224" i="9"/>
  <c r="AI128" i="9"/>
  <c r="AJ113" i="9"/>
  <c r="AK113" i="9" s="1"/>
  <c r="AJ89" i="9"/>
  <c r="AK89" i="9" s="1"/>
  <c r="AI151" i="9"/>
  <c r="AJ146" i="9"/>
  <c r="AK146" i="9" s="1"/>
  <c r="AI146" i="9"/>
  <c r="AJ21" i="9"/>
  <c r="AK21" i="9" s="1"/>
  <c r="AI21" i="9"/>
  <c r="AI87" i="9"/>
  <c r="AJ87" i="9"/>
  <c r="AK87" i="9" s="1"/>
  <c r="AI134" i="9"/>
  <c r="AJ134" i="9"/>
  <c r="AK134" i="9" s="1"/>
  <c r="AI205" i="9"/>
  <c r="AJ205" i="9"/>
  <c r="AK205" i="9" s="1"/>
  <c r="AJ139" i="9"/>
  <c r="AK139" i="9" s="1"/>
  <c r="AI139" i="9"/>
  <c r="AJ95" i="9"/>
  <c r="AK95" i="9" s="1"/>
  <c r="AI95" i="9"/>
  <c r="AJ197" i="9"/>
  <c r="AK197" i="9" s="1"/>
  <c r="AI197" i="9"/>
  <c r="AJ127" i="9"/>
  <c r="AK127" i="9" s="1"/>
  <c r="AI127" i="9"/>
  <c r="AJ8" i="9"/>
  <c r="AK8" i="9" s="1"/>
  <c r="AI8" i="9"/>
  <c r="AJ193" i="9"/>
  <c r="AK193" i="9" s="1"/>
  <c r="AJ157" i="9"/>
  <c r="AK157" i="9" s="1"/>
  <c r="AI157" i="9"/>
  <c r="AI108" i="9"/>
  <c r="AI50" i="9"/>
  <c r="AJ50" i="9"/>
  <c r="AK50" i="9" s="1"/>
  <c r="AI98" i="9"/>
  <c r="AJ98" i="9"/>
  <c r="AK98" i="9" s="1"/>
  <c r="AJ34" i="9"/>
  <c r="AK34" i="9" s="1"/>
  <c r="AI34" i="9"/>
  <c r="AI45" i="9"/>
  <c r="AJ45" i="9"/>
  <c r="AK45" i="9" s="1"/>
  <c r="AJ234" i="9"/>
  <c r="AK234" i="9" s="1"/>
  <c r="AI234" i="9"/>
  <c r="AJ198" i="9"/>
  <c r="AK198" i="9" s="1"/>
  <c r="AI198" i="9"/>
  <c r="AJ85" i="9"/>
  <c r="AK85" i="9" s="1"/>
  <c r="AI85" i="9"/>
  <c r="AI53" i="9"/>
  <c r="AJ53" i="9"/>
  <c r="AK53" i="9" s="1"/>
  <c r="AJ61" i="9"/>
  <c r="AK61" i="9" s="1"/>
  <c r="AI61" i="9"/>
  <c r="AJ17" i="9"/>
  <c r="AK17" i="9" s="1"/>
  <c r="AI17" i="9"/>
  <c r="AI189" i="9"/>
  <c r="AJ189" i="9"/>
  <c r="AK189" i="9" s="1"/>
  <c r="AJ66" i="9"/>
  <c r="AK66" i="9" s="1"/>
  <c r="AI66" i="9"/>
  <c r="AJ130" i="9"/>
  <c r="AK130" i="9" s="1"/>
  <c r="AI130" i="9"/>
  <c r="AI226" i="9"/>
  <c r="AI114" i="9"/>
  <c r="AJ114" i="9"/>
  <c r="AK114" i="9" s="1"/>
  <c r="AJ51" i="9"/>
  <c r="AK51" i="9" s="1"/>
  <c r="AI51" i="9"/>
  <c r="AJ90" i="9"/>
  <c r="AK90" i="9" s="1"/>
  <c r="AI90" i="9"/>
  <c r="AJ71" i="9"/>
  <c r="AK71" i="9" s="1"/>
  <c r="AI71" i="9"/>
  <c r="AJ78" i="9"/>
  <c r="AK78" i="9" s="1"/>
  <c r="AI78" i="9"/>
  <c r="AJ82" i="9"/>
  <c r="AK82" i="9" s="1"/>
  <c r="AI82" i="9"/>
  <c r="AJ154" i="9"/>
  <c r="AK154" i="9" s="1"/>
  <c r="AI154" i="9"/>
  <c r="AI215" i="9"/>
  <c r="AJ215" i="9"/>
  <c r="AK215" i="9" s="1"/>
  <c r="AI122" i="9"/>
  <c r="AJ122" i="9"/>
  <c r="AK122" i="9" s="1"/>
  <c r="AJ239" i="9"/>
  <c r="AK239" i="9" s="1"/>
  <c r="AI239" i="9"/>
  <c r="AI228" i="9"/>
  <c r="AJ228" i="9"/>
  <c r="AK228" i="9" s="1"/>
  <c r="AI196" i="9"/>
  <c r="AJ196" i="9"/>
  <c r="AK196" i="9" s="1"/>
  <c r="AJ241" i="9"/>
  <c r="AK241" i="9" s="1"/>
  <c r="AI241" i="9"/>
  <c r="AJ27" i="9"/>
  <c r="AK27" i="9" s="1"/>
  <c r="AI27" i="9"/>
  <c r="AI173" i="9"/>
  <c r="AJ173" i="9"/>
  <c r="AK173" i="9" s="1"/>
  <c r="AJ210" i="9"/>
  <c r="AK210" i="9" s="1"/>
  <c r="AI210" i="9"/>
  <c r="AJ18" i="9"/>
  <c r="AI18" i="9"/>
  <c r="AJ46" i="9"/>
  <c r="AK46" i="9" s="1"/>
  <c r="AI46" i="9"/>
  <c r="AI110" i="9"/>
  <c r="AJ110" i="9"/>
  <c r="AK110" i="9" s="1"/>
  <c r="AI117" i="9"/>
  <c r="AJ117" i="9"/>
  <c r="AK117" i="9" s="1"/>
  <c r="AI133" i="9"/>
  <c r="AJ133" i="9"/>
  <c r="AK133" i="9" s="1"/>
  <c r="AI131" i="9"/>
  <c r="AJ131" i="9"/>
  <c r="AK131" i="9" s="1"/>
  <c r="AJ167" i="9"/>
  <c r="AK167" i="9" s="1"/>
  <c r="AI167" i="9"/>
  <c r="AJ218" i="9"/>
  <c r="AK218" i="9" s="1"/>
  <c r="AI218" i="9"/>
  <c r="AJ39" i="9"/>
  <c r="AK39" i="9" s="1"/>
  <c r="AI39" i="9"/>
  <c r="AJ194" i="9"/>
  <c r="AK194" i="9" s="1"/>
  <c r="AI194" i="9"/>
  <c r="AJ155" i="9"/>
  <c r="AK155" i="9" s="1"/>
  <c r="AI155" i="9"/>
  <c r="AJ145" i="9"/>
  <c r="AK145" i="9" s="1"/>
  <c r="AI145" i="9"/>
  <c r="AJ143" i="9"/>
  <c r="AK143" i="9" s="1"/>
  <c r="AI143" i="9"/>
  <c r="AI136" i="9"/>
  <c r="AJ136" i="9"/>
  <c r="AK136" i="9" s="1"/>
  <c r="AI5" i="9" l="1"/>
  <c r="AK18" i="9"/>
  <c r="AJ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Matzke</author>
  </authors>
  <commentList>
    <comment ref="P15" authorId="0" shapeId="0" xr:uid="{00000000-0006-0000-0100-000001000000}">
      <text>
        <r>
          <rPr>
            <b/>
            <sz val="9"/>
            <color indexed="81"/>
            <rFont val="Calibri"/>
            <family val="2"/>
          </rPr>
          <t>Nicholas Matzke:</t>
        </r>
        <r>
          <rPr>
            <sz val="9"/>
            <color indexed="81"/>
            <rFont val="Calibri"/>
            <family val="2"/>
          </rPr>
          <t xml:space="preserve">
e.g. for Uniform distribution on the date,
param1 = minimum time before present
param2 = maximum time before present
e.g. for Normal distribution on the date,
param1 = mean
param2 = standard deviation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Matzke</author>
  </authors>
  <commentList>
    <comment ref="O15" authorId="0" shapeId="0" xr:uid="{00000000-0006-0000-0300-000001000000}">
      <text>
        <r>
          <rPr>
            <b/>
            <sz val="9"/>
            <color indexed="81"/>
            <rFont val="Calibri"/>
            <family val="2"/>
          </rPr>
          <t>Nicholas Matzke:</t>
        </r>
        <r>
          <rPr>
            <sz val="9"/>
            <color indexed="81"/>
            <rFont val="Calibri"/>
            <family val="2"/>
          </rPr>
          <t xml:space="preserve">
e.g. for Uniform distribution on the date,
param1 = minimum time before present
param2 = maximum time before present
e.g. for Normal distribution on the date,
param1 = mean
param2 = standard deviation
</t>
        </r>
      </text>
    </comment>
  </commentList>
</comments>
</file>

<file path=xl/sharedStrings.xml><?xml version="1.0" encoding="utf-8"?>
<sst xmlns="http://schemas.openxmlformats.org/spreadsheetml/2006/main" count="2772" uniqueCount="1052">
  <si>
    <t>use</t>
  </si>
  <si>
    <t>filename</t>
  </si>
  <si>
    <t>startchar</t>
  </si>
  <si>
    <t>endchar</t>
  </si>
  <si>
    <t>by</t>
  </si>
  <si>
    <t>dir</t>
  </si>
  <si>
    <t>Here, give the source files etc. for each partition of "sequence" data (DNA, protein, morphology)</t>
  </si>
  <si>
    <t>Options</t>
  </si>
  <si>
    <t>yes</t>
  </si>
  <si>
    <t>no</t>
  </si>
  <si>
    <t>num</t>
  </si>
  <si>
    <t>The directory in which the file is found. If blank, current working directory is used</t>
  </si>
  <si>
    <t>1</t>
  </si>
  <si>
    <t>3</t>
  </si>
  <si>
    <t>Options:</t>
  </si>
  <si>
    <t>Inputs:</t>
  </si>
  <si>
    <t>Desc:</t>
  </si>
  <si>
    <t>Should this row be used?</t>
  </si>
  <si>
    <t>E.g. 1</t>
  </si>
  <si>
    <t>E.g. 100</t>
  </si>
  <si>
    <t>Models</t>
  </si>
  <si>
    <t>Data type</t>
  </si>
  <si>
    <t>Usually, 1; or 3 for codon positions</t>
  </si>
  <si>
    <t>DNA</t>
  </si>
  <si>
    <t>AA</t>
  </si>
  <si>
    <t>type</t>
  </si>
  <si>
    <t>list</t>
  </si>
  <si>
    <t>The list of character positions will trump start/end/by if used</t>
  </si>
  <si>
    <t>Model</t>
  </si>
  <si>
    <t>JC/HKY/GTR</t>
  </si>
  <si>
    <t>Proportion of Invariant Sites -- disfavored these days, just use 0</t>
  </si>
  <si>
    <t>model</t>
  </si>
  <si>
    <t>pInv</t>
  </si>
  <si>
    <t>Notes</t>
  </si>
  <si>
    <t>datasetName</t>
  </si>
  <si>
    <t>filteredAlignmentName</t>
  </si>
  <si>
    <t>Input files</t>
  </si>
  <si>
    <t>Apply filters to make each partition</t>
  </si>
  <si>
    <t>morph</t>
  </si>
  <si>
    <t>This worksheet contains:</t>
  </si>
  <si>
    <t>1. The list of all taxa</t>
  </si>
  <si>
    <t>2. The starting tipdates of all taxa</t>
  </si>
  <si>
    <t>tipdate</t>
  </si>
  <si>
    <t>3. The priors on these dates</t>
  </si>
  <si>
    <t>distribution</t>
  </si>
  <si>
    <t>param1</t>
  </si>
  <si>
    <t>fixed</t>
  </si>
  <si>
    <t>uniform</t>
  </si>
  <si>
    <t>normal</t>
  </si>
  <si>
    <t>offset</t>
  </si>
  <si>
    <t>This describes the probability distribution for each tip date</t>
  </si>
  <si>
    <t>param2</t>
  </si>
  <si>
    <t>If uniform, this is the upper (older) age limit. Otherwise, param2 is stdev</t>
  </si>
  <si>
    <t>If uniform, this is the lower (younger) age limit. Otherwise, param1 is mean</t>
  </si>
  <si>
    <t>Offset: a number added to the age. Handy for e.g. logNormal</t>
  </si>
  <si>
    <t>Taxon names -- NO spaces or quote marks!!</t>
  </si>
  <si>
    <t>Tip date -- hard code, or calculate from param1/param2</t>
  </si>
  <si>
    <t>OTUs</t>
  </si>
  <si>
    <t>Each clade or taxon you would like to use for:</t>
  </si>
  <si>
    <t>1. Logging (e.g., logging a clade age)</t>
  </si>
  <si>
    <t>2. Monophyly constraint</t>
  </si>
  <si>
    <t>3. and/or node-dating constraints.</t>
  </si>
  <si>
    <t>The constraints/logs are specified in the "constraints" tab</t>
  </si>
  <si>
    <t>Description:</t>
  </si>
  <si>
    <t>SECTION 3: SPECIFY THE INPUT DATA</t>
  </si>
  <si>
    <t>SECTION 2B: SPECIFY THE TAXA GROUPS/CLADES</t>
  </si>
  <si>
    <t>SECTION 2A: SPECIFY THE OTUs AND TIP DATES</t>
  </si>
  <si>
    <t>SECTION 2C: SPECIFY THE NODE AGES/CONSTRAINTS and/or logging of same</t>
  </si>
  <si>
    <t>In this worksheet, you can specify, for each taxon named in "taxa":</t>
  </si>
  <si>
    <t>Taxon</t>
  </si>
  <si>
    <t>mono</t>
  </si>
  <si>
    <t>lognormal</t>
  </si>
  <si>
    <t>mean or</t>
  </si>
  <si>
    <t>lower (younger)</t>
  </si>
  <si>
    <t>age limit</t>
  </si>
  <si>
    <t>stdev or</t>
  </si>
  <si>
    <t>upper (older)</t>
  </si>
  <si>
    <t>offset on mean</t>
  </si>
  <si>
    <t>node_or_stem</t>
  </si>
  <si>
    <t>node</t>
  </si>
  <si>
    <t>stem</t>
  </si>
  <si>
    <t>meanInRealSpace</t>
  </si>
  <si>
    <t>make_age_prior</t>
  </si>
  <si>
    <t>trace_log</t>
  </si>
  <si>
    <t>screen_log</t>
  </si>
  <si>
    <t>Ordered/Unordered</t>
  </si>
  <si>
    <t>order_type</t>
  </si>
  <si>
    <t>unordered</t>
  </si>
  <si>
    <t>ordered</t>
  </si>
  <si>
    <t>The "list" cell will be split on a comma, NO SPACE</t>
  </si>
  <si>
    <t>If "list" is blank, startchar/endchar/by will be used instead.</t>
  </si>
  <si>
    <t>Names of the partitions (ordered and unordered morphology should both get "morph", in the default run)</t>
  </si>
  <si>
    <t>4,5,etc.</t>
  </si>
  <si>
    <t>0.5, 0.6 etc.</t>
  </si>
  <si>
    <t>estimate</t>
  </si>
  <si>
    <t>0 if not used</t>
  </si>
  <si>
    <t>gammaNum</t>
  </si>
  <si>
    <t>Gamma-distributed among-site rate variation: number of categories</t>
  </si>
  <si>
    <t>Model for base frequencies</t>
  </si>
  <si>
    <t>estimated</t>
  </si>
  <si>
    <t>baseFreqs</t>
  </si>
  <si>
    <t>SECTION 4: SPECIFY THE TREE MODEL</t>
  </si>
  <si>
    <t>Here, specify the parameters for the BDSKY tree model</t>
  </si>
  <si>
    <t>birthRate_times_tops</t>
  </si>
  <si>
    <t>deathRate_times_tops</t>
  </si>
  <si>
    <t>samplingRate_times_tops</t>
  </si>
  <si>
    <t>Time sections for different birthRates</t>
  </si>
  <si>
    <t>(top of each time bin, starting from 0 my before present)</t>
  </si>
  <si>
    <t>The starting value of birthRate in each time bin</t>
  </si>
  <si>
    <t>birthRate_function</t>
  </si>
  <si>
    <t>Is the birthRate freely estimated, fixed, or scaled to an estimated base value</t>
  </si>
  <si>
    <t>(note that if the starting value is 0, it will stay fixed to 0)</t>
  </si>
  <si>
    <t>samplingRate_function</t>
  </si>
  <si>
    <t>The starting value of samplingRate in each time bin</t>
  </si>
  <si>
    <t>Is the samplingRate freely estimated, fixed, or scaled to an estimated base value</t>
  </si>
  <si>
    <t>Time sections for different deathRates</t>
  </si>
  <si>
    <t>Note: deathRate CANNOT exceed birthRate in Beast2, as far as I can tell -- yes, this could be peculiar</t>
  </si>
  <si>
    <t>The starting value of deathRate in each time bin</t>
  </si>
  <si>
    <t>Is the deathRate freely estimated, fixed, or scaled to an estimated base value</t>
  </si>
  <si>
    <t>SAMPLINGRATE (psi) SERIAL SKYLINE</t>
  </si>
  <si>
    <t>DEATHRATE (mu) SERIAL SKYLINE</t>
  </si>
  <si>
    <t>BIRTHRATE (lambda) SERIAL SKYLINE</t>
  </si>
  <si>
    <t>starting_tree</t>
  </si>
  <si>
    <t>Either name a newick file, or a random or upgma tree</t>
  </si>
  <si>
    <t>(newick filename)</t>
  </si>
  <si>
    <t>random</t>
  </si>
  <si>
    <t>upgma</t>
  </si>
  <si>
    <t>originTime</t>
  </si>
  <si>
    <t>The initial time at which the tree+sampling process starts. Starting value has to be older the than the starting tree root age.</t>
  </si>
  <si>
    <t>Time sections for different samplingRates</t>
  </si>
  <si>
    <t>(scaled option is experimental)</t>
  </si>
  <si>
    <t>(oldest age represents time bin: oldest-Infinity)</t>
  </si>
  <si>
    <t>deathRate_function</t>
  </si>
  <si>
    <t>tree_dir</t>
  </si>
  <si>
    <t>Directory of the Newick tree (if used)</t>
  </si>
  <si>
    <t>birthRate_starting_vals</t>
  </si>
  <si>
    <t>deathRate_starting_vals</t>
  </si>
  <si>
    <t>samplingRate_starting_vals</t>
  </si>
  <si>
    <t>Directory of starting tree</t>
  </si>
  <si>
    <t>Starting tree</t>
  </si>
  <si>
    <t>rhoSamplingTimes</t>
  </si>
  <si>
    <t>Timepoint(s) at which multiple taxa are simultaneously sampled</t>
  </si>
  <si>
    <t>rho</t>
  </si>
  <si>
    <t>rho equals "average proportion of then-extant taxa which are sampled"</t>
  </si>
  <si>
    <t>(e.g., p(sampling) for each lineage at that time-point)</t>
  </si>
  <si>
    <t>Typically, this occurs at time=0</t>
  </si>
  <si>
    <t>rho_function</t>
  </si>
  <si>
    <t>You could try estimating rho, but identifiability issues may result</t>
  </si>
  <si>
    <t>Problems may also occur if rho=0</t>
  </si>
  <si>
    <t>So, default rho is 1</t>
  </si>
  <si>
    <t>SECTION 5: MCMC RUN PARAMETERS</t>
  </si>
  <si>
    <t>Here, you specify things like output filenames, number of generations, sampling rates, etc.</t>
  </si>
  <si>
    <t>Should this row be used (good for saving other run parameters)</t>
  </si>
  <si>
    <t>chainLength</t>
  </si>
  <si>
    <t>Length of the mcmc chain</t>
  </si>
  <si>
    <t>state_store</t>
  </si>
  <si>
    <t>tracelog_store</t>
  </si>
  <si>
    <t>screenlog_store</t>
  </si>
  <si>
    <t>treelog_store</t>
  </si>
  <si>
    <t>Store the state how often?</t>
  </si>
  <si>
    <t>Store the trace log how often?</t>
  </si>
  <si>
    <t>Print to screen log how often?</t>
  </si>
  <si>
    <t>Store the tree how often?</t>
  </si>
  <si>
    <t>XML classes to add at the top of the XML file</t>
  </si>
  <si>
    <t>XML namespaces to add at the top of the XML file</t>
  </si>
  <si>
    <t>XML_namespaces</t>
  </si>
  <si>
    <t>classes_to_map_XML</t>
  </si>
  <si>
    <t>Trace Log filename</t>
  </si>
  <si>
    <t>Tree Log filename</t>
  </si>
  <si>
    <t>tracelog_fn</t>
  </si>
  <si>
    <t>treelog_fn</t>
  </si>
  <si>
    <t>use_fixed</t>
  </si>
  <si>
    <t>use_fixed means use what is hard-coded in the parse_run function; you may have to add more manually if you add new distributions/classes/models</t>
  </si>
  <si>
    <t>NOTES / current status</t>
  </si>
  <si>
    <t>Current: just fix to 0</t>
  </si>
  <si>
    <t>Currently: gamma must be used, and independent for each partition</t>
  </si>
  <si>
    <t>Current: must have a datasetName</t>
  </si>
  <si>
    <t>Current: fixed only</t>
  </si>
  <si>
    <t>Is it forced to be monophyletic?</t>
  </si>
  <si>
    <t>Node age prior</t>
  </si>
  <si>
    <t>Prior on node or stem bottom?</t>
  </si>
  <si>
    <t>Log age to trace file?</t>
  </si>
  <si>
    <t>Log age to screen?</t>
  </si>
  <si>
    <t>Starting position in the dataset</t>
  </si>
  <si>
    <t>Ending position in the dataset</t>
  </si>
  <si>
    <t>Name of the XML file you will run in Beast2</t>
  </si>
  <si>
    <t>outfn</t>
  </si>
  <si>
    <t>XML filename ('outfn" = "output filename")</t>
  </si>
  <si>
    <t>Current: XML classes are hard-coded</t>
  </si>
  <si>
    <t>Current: XML namespaces are hard-coded</t>
  </si>
  <si>
    <t>param1_orig</t>
  </si>
  <si>
    <t>param2_orig</t>
  </si>
  <si>
    <t>minvals</t>
  </si>
  <si>
    <t>In the case of fossils, you may have to pick a tip (or a fake tip with no data) to represent time=0 Ma</t>
  </si>
  <si>
    <t>…and then calculate tip dates from that</t>
  </si>
  <si>
    <t>minval</t>
  </si>
  <si>
    <t>…and then calculate  dates from that</t>
  </si>
  <si>
    <t>Default is "no"</t>
  </si>
  <si>
    <t>The meanInRealSpace tag is relevant to lognormal and exponential distributions -- see BEAUTi</t>
  </si>
  <si>
    <t>SECTION 1: METADATA FOR THIS PROJECT</t>
  </si>
  <si>
    <t xml:space="preserve">Description: </t>
  </si>
  <si>
    <t>Dataset:</t>
  </si>
  <si>
    <t xml:space="preserve">Source: </t>
  </si>
  <si>
    <t>Data re-use:</t>
  </si>
  <si>
    <t>Contact:</t>
  </si>
  <si>
    <t>Nicholas J. Matzke</t>
  </si>
  <si>
    <t>Citation:</t>
  </si>
  <si>
    <t>Local dataset location (edit for your computer; this is just for reference):</t>
  </si>
  <si>
    <t>treeModel</t>
  </si>
  <si>
    <t>BDSKY</t>
  </si>
  <si>
    <t>SABDSKY</t>
  </si>
  <si>
    <t>This is the model you are going to use, either BDSKY or SABDSKY (sampled ancestors, birth-death skyline)</t>
  </si>
  <si>
    <t>(other models, e.g. Yule and BD, are special cases of BDSKY)</t>
  </si>
  <si>
    <t>Save the mean if you want to</t>
  </si>
  <si>
    <t>lower (younger) age limit</t>
  </si>
  <si>
    <t>upper (older) age limit</t>
  </si>
  <si>
    <t>tipdate_mean</t>
  </si>
  <si>
    <t>tipdate_sd</t>
  </si>
  <si>
    <t>Save the SD if you want to</t>
  </si>
  <si>
    <t>Original numbering</t>
  </si>
  <si>
    <t>Options --&gt;</t>
  </si>
  <si>
    <t>For lognormal distributions, means should be in real space</t>
  </si>
  <si>
    <t>(but you may also use an offset, also in real space)</t>
  </si>
  <si>
    <t>For exponential distributions, the mean should be in real space</t>
  </si>
  <si>
    <t>(i.e., mean = 1/rate)</t>
  </si>
  <si>
    <t>exponential</t>
  </si>
  <si>
    <t>Also, param2 is ignored for exponential distributions.</t>
  </si>
  <si>
    <t>Default (blank) is "yes"</t>
  </si>
  <si>
    <t>You can put a prior on the *ratio* of the birthRates in different bins. This will be a Normal(mean=scaling, sd=scaling/10) distribution; the scaling is calculated with math functions in the XML</t>
  </si>
  <si>
    <t>You can put a prior on the *ratio* of the deathRates in different bins. This will be a Normal(mean=scaling, sd=scaling/10) distribution; the scaling is calculated with math functions in the XML</t>
  </si>
  <si>
    <t>(if blank, left free)</t>
  </si>
  <si>
    <t>You can put a prior on the *ratio* of the samplingRates in different bins. This will be a Normal(mean=scaling, sd=scaling/10) distribution; the scaling is calculated with math functions in the XML</t>
  </si>
  <si>
    <t>Clock model (currently, just one shared_clock)</t>
  </si>
  <si>
    <t>clockmodel_type</t>
  </si>
  <si>
    <t>ucld = uncorrelated lognormal branch rates</t>
  </si>
  <si>
    <t>clockrate_prior_dist</t>
  </si>
  <si>
    <t>clockrate_prior_param1</t>
  </si>
  <si>
    <t>clockrate_prior_param2</t>
  </si>
  <si>
    <t>This describes the probability distribution for the clockrate</t>
  </si>
  <si>
    <r>
      <rPr>
        <b/>
        <sz val="12"/>
        <color theme="1"/>
        <rFont val="Calibri"/>
        <family val="2"/>
        <scheme val="minor"/>
      </rPr>
      <t xml:space="preserve">NOTE: </t>
    </r>
    <r>
      <rPr>
        <sz val="12"/>
        <color theme="1"/>
        <rFont val="Calibri"/>
        <family val="2"/>
        <scheme val="minor"/>
      </rPr>
      <t>Clock models and clockrate priors are far to the right --&gt;</t>
    </r>
  </si>
  <si>
    <t>clockrate_offset</t>
  </si>
  <si>
    <t>clockrate_meanInRealSpace</t>
  </si>
  <si>
    <t>clockSD_prior_dist</t>
  </si>
  <si>
    <t>clockSD_prior_param2</t>
  </si>
  <si>
    <t>clockSD_prior_param1</t>
  </si>
  <si>
    <t>(You only need the full prior specification for the first instance of each clock name.)</t>
  </si>
  <si>
    <t>(blank means no)</t>
  </si>
  <si>
    <t>clockSD_offset</t>
  </si>
  <si>
    <t>clockSD_meanInRealSpace</t>
  </si>
  <si>
    <t>Use?</t>
  </si>
  <si>
    <t>blank=yes</t>
  </si>
  <si>
    <t>Put in this taxon for logging?</t>
  </si>
  <si>
    <t>Put a prior distribution on the age?</t>
  </si>
  <si>
    <t>Note: "stem" disallowed for root node</t>
  </si>
  <si>
    <t>(and for single-tip clades; for those, use a prior on the clade)</t>
  </si>
  <si>
    <t>uced = uncorrelated exponential branch rates</t>
  </si>
  <si>
    <t>rlc = random local clock</t>
  </si>
  <si>
    <t>Substitution Tree Log filename</t>
  </si>
  <si>
    <t>This is a tree with branch lengths in substitutions instead of time.</t>
  </si>
  <si>
    <t>To exclude, leave this blank</t>
  </si>
  <si>
    <t>subslog_fn</t>
  </si>
  <si>
    <t>trait1</t>
  </si>
  <si>
    <t>trait2</t>
  </si>
  <si>
    <t>continuous</t>
  </si>
  <si>
    <t>Each partition gets a DIFFERENT filteredAlignmentName</t>
  </si>
  <si>
    <t>Multiple discrete morphology alignments can be pulled from the same filename/dataset</t>
  </si>
  <si>
    <t>But each continuous dataset needs its own filename &amp; dataset</t>
  </si>
  <si>
    <t>notes</t>
  </si>
  <si>
    <t>birthRate_prior_dist</t>
  </si>
  <si>
    <t>birthRate_prior_param1</t>
  </si>
  <si>
    <t>birthRate_prior_param2</t>
  </si>
  <si>
    <t>birthRate_offset</t>
  </si>
  <si>
    <t>birthRate_meanInRealSpace</t>
  </si>
  <si>
    <t>hyperpriors on the tree model (priors on the birthRate, deathRate, and samplingRate)</t>
  </si>
  <si>
    <t>hyperpriors on the tree model (priors on the deathRate, deathRate, and samplingRate)</t>
  </si>
  <si>
    <t>deathRate_prior_dist</t>
  </si>
  <si>
    <t>deathRate_prior_param1</t>
  </si>
  <si>
    <t>deathRate_prior_param2</t>
  </si>
  <si>
    <t>deathRate_offset</t>
  </si>
  <si>
    <t>deathRate_meanInRealSpace</t>
  </si>
  <si>
    <t>hyperpriors on the tree model (priors on the samplingRate, samplingRate, and samplingRate)</t>
  </si>
  <si>
    <t>samplingRate_prior_dist</t>
  </si>
  <si>
    <t>samplingRate_prior_param1</t>
  </si>
  <si>
    <t>samplingRate_prior_param2</t>
  </si>
  <si>
    <t>samplingRate_offset</t>
  </si>
  <si>
    <t>samplingRate_meanInRealSpace</t>
  </si>
  <si>
    <t>NJM: these bins can be generated with R script</t>
  </si>
  <si>
    <t>scaled (= gets a prior on the multiplier to the base rate)</t>
  </si>
  <si>
    <t>estimated (= this gets whatever prior is specified for it -- MUST have a prior specified)</t>
  </si>
  <si>
    <t>birthRate_scaling_relative_to_estimated_base</t>
  </si>
  <si>
    <t>estimated_base (scaled rates are scaled to this)</t>
  </si>
  <si>
    <t>deathRate_scaling_relative_to_estimated_base</t>
  </si>
  <si>
    <t>samplingRate_scaling_relative_to_estimated_base</t>
  </si>
  <si>
    <t>Relative age priors</t>
  </si>
  <si>
    <t>Equation</t>
  </si>
  <si>
    <t>rel_make_age_prior</t>
  </si>
  <si>
    <t>rel_meanInRealSpace</t>
  </si>
  <si>
    <t>rel_offset</t>
  </si>
  <si>
    <t>default yes</t>
  </si>
  <si>
    <t>The equation producing the number you will put a prior on</t>
  </si>
  <si>
    <t>Use this relative age calibration?</t>
  </si>
  <si>
    <t>Number of samples to get?</t>
  </si>
  <si>
    <t>numsamps</t>
  </si>
  <si>
    <t>If you have 2 clocks, give them different names</t>
  </si>
  <si>
    <t>starting value for the clock SD</t>
  </si>
  <si>
    <t>(if needed)</t>
  </si>
  <si>
    <t>clockSD_starting_val</t>
  </si>
  <si>
    <t>rel_prior_distribution</t>
  </si>
  <si>
    <t>rel_prior_param1</t>
  </si>
  <si>
    <t>rel_prior_param2</t>
  </si>
  <si>
    <t>rel_prior_Name</t>
  </si>
  <si>
    <t>rel_prior_use</t>
  </si>
  <si>
    <t>rel_prior_groupnames</t>
  </si>
  <si>
    <t>diff_from_mean</t>
  </si>
  <si>
    <t>(each taxon's difference from the mean)</t>
  </si>
  <si>
    <t>difference</t>
  </si>
  <si>
    <t>(difference</t>
  </si>
  <si>
    <t>tipsOnly</t>
  </si>
  <si>
    <t>default no</t>
  </si>
  <si>
    <t>Note: Uniform distributions on differences appear to be hazardous -- easy for the chain to hit -Inf at the beginning or early in, causing crashes</t>
  </si>
  <si>
    <t>ascertainment</t>
  </si>
  <si>
    <t>Mk</t>
  </si>
  <si>
    <t>Mkv</t>
  </si>
  <si>
    <t>Ascertainment bias model (after Felsenstein 1992's restriction data correction)</t>
  </si>
  <si>
    <t>Traits can come from  a tab-delimited file or</t>
  </si>
  <si>
    <t>"traits" ie the traits tab</t>
  </si>
  <si>
    <t>CONTINUOUS TRAITS DATA</t>
  </si>
  <si>
    <t>The first 14 lines are for notes etc.</t>
  </si>
  <si>
    <t>You may (or may not) want to re-scale continuous characters, e.g. log-transformation or rescale to 0 mean, unit variance.</t>
  </si>
  <si>
    <t>STATISTICS ON YOUR DATA MATRIX (paste here, as notes)</t>
  </si>
  <si>
    <t>Except: continuous traits just have a different rate for each character - gamma not used</t>
  </si>
  <si>
    <t>fossilTF</t>
  </si>
  <si>
    <t>Number of fossils</t>
  </si>
  <si>
    <t>(note: getting a good starting tree is often hard; BEASTmasteR will print the code for other methods)</t>
  </si>
  <si>
    <t>(having a working Newick starting tree is best; random is next best (but check starting originTime, rho, birthRate, deathRate, samplingRate); I have yet to get UPGMA/neighborjoining2 to work)</t>
  </si>
  <si>
    <t>If yes, the distribution will be converted to a narrow normal distribution</t>
  </si>
  <si>
    <t>(This is useful for e.g. getting starting trees)</t>
  </si>
  <si>
    <t>Default no</t>
  </si>
  <si>
    <t>convert_to_normal</t>
  </si>
  <si>
    <t>WAG/BLOSUM62/CPREV/JTT/MTREV</t>
  </si>
  <si>
    <t>ratesQ</t>
  </si>
  <si>
    <t>ratesQ (for manual AA matrix)</t>
  </si>
  <si>
    <t>ratesQ: AA Q matrix, manually specified</t>
  </si>
  <si>
    <t>just lower triangle, space-delimited</t>
  </si>
  <si>
    <t>Beast2 help on optional "rates" entry of e.g. WAG: "Rate parameter which defines the transition rate matrix. Only the off-diagonal entries need to be specified (diagonal makes row sum to zero in a rate matrix). Entry i specifies the rate from floor(i/(n-1)) to i%(n-1)+delta where n is the number of states and delta=1 if floor(i/(n-1)) &gt;= i%(n-1) and 0 otherwise."</t>
  </si>
  <si>
    <t>NOT TESTED</t>
  </si>
  <si>
    <t>AA equal</t>
  </si>
  <si>
    <t>WARNING: squiggly brackets {} representing uncertain sequences are fatal in amino acid sequences. The perl commands that convert DNA to IUPAC do not work on amino acids. You should change anything inside {} to a single ?</t>
  </si>
  <si>
    <t>scaled_min (unif on ratio, with this min)</t>
  </si>
  <si>
    <t>scaled_max (unif on ratio, with this max)</t>
  </si>
  <si>
    <t>Use with citation</t>
  </si>
  <si>
    <t>use a formula if you like)</t>
  </si>
  <si>
    <t>(To scale to e.g. 66 MA for the highest tip in the tree,</t>
  </si>
  <si>
    <t>"list_of_OTUs" isn't used, it is automatic in all BEASTmasteR runs, to provide a constant reference for the total taxon list</t>
  </si>
  <si>
    <t>(In the Lee &amp; Worthy dataset, these are fake traits.)</t>
  </si>
  <si>
    <t>Statistics on the completeness of the morphology data matrix, by taxon:</t>
  </si>
  <si>
    <t>OTU</t>
  </si>
  <si>
    <t>nQ</t>
  </si>
  <si>
    <t>nQ_woInvar</t>
  </si>
  <si>
    <t>numchars</t>
  </si>
  <si>
    <t>NOTE: continuous traits won't work with SABDSKY</t>
  </si>
  <si>
    <t>In progress.</t>
  </si>
  <si>
    <t>NOTES</t>
  </si>
  <si>
    <t>dataSection</t>
  </si>
  <si>
    <t>Data sections</t>
  </si>
  <si>
    <t>Names e.g. for identifying possible partition schemes with PartitionFinder</t>
  </si>
  <si>
    <t>nick.matzke@anu.edu.au</t>
  </si>
  <si>
    <t>Research Fellow, ARC DECRA Fellowship, The Australian National University</t>
  </si>
  <si>
    <t>clockModel_name</t>
  </si>
  <si>
    <t>siteModel_name</t>
  </si>
  <si>
    <t>geneTreeName</t>
  </si>
  <si>
    <t>speciesTreeName</t>
  </si>
  <si>
    <t>Tree Model</t>
  </si>
  <si>
    <t>(if endchar is too high, or left blank, BEASTmasteR will fill it in)</t>
  </si>
  <si>
    <t>Is this partition evolving on a gene tree or a species tree? If geneTreeName=speciesTreeName, or is blank, traditional analysis. Otherwise, a starBEAST gene tree/species tree analysis</t>
  </si>
  <si>
    <t>speciesTreeName is the name used for the shared species tree (or, the only tree in a concatenated analysis)</t>
  </si>
  <si>
    <t>Specify what siteModel this data partition goes into</t>
  </si>
  <si>
    <t>Here, specify which specimens go with which predetermined species (or named populations or whatever)</t>
  </si>
  <si>
    <t>This is equivalent to:
1. the table in the "Taxon sets" tab of the StarBeast2 template in Beauti2
    column 1: "Taxon" -- really, it should have been called "specimenString" or something
    column 2: "Species/Population")
...or... 
2. the tab-delimited, two-column traits file mentioned on page 4 of the StarBeast2 tutorial ("Import trait(s) from a mapping to fire [sic] *BEAST")
     column 1: "traits" -- really, it should have been called "specimenString" or something
     column 2: "species"</t>
  </si>
  <si>
    <t>specimenString</t>
  </si>
  <si>
    <t>yes/no to use this line (default: yes)</t>
  </si>
  <si>
    <t>The unique string that identifies this sequence as coming from a particular speciesName</t>
  </si>
  <si>
    <t>speciesName</t>
  </si>
  <si>
    <t>The name of the species/population/OTU in the species tree</t>
  </si>
  <si>
    <t xml:space="preserve">If you want to cut any specific sequences, list them here, in a comma-delimited list. </t>
  </si>
  <si>
    <t>(You might want to do this, e.g. if a few sequences are misaligned, are paralogs, etc., and it is easier to just list them here than modify the raw data files.)</t>
  </si>
  <si>
    <t>(All speciesNames must have an identical match in OTUs)</t>
  </si>
  <si>
    <t>The name of the tree in the XML file, typically "shared_tree"</t>
  </si>
  <si>
    <t>seqNames_to_cut</t>
  </si>
  <si>
    <t>A comma-delimited list of specific sequence strings to cut from the analysis</t>
  </si>
  <si>
    <t>(This is for starBEAST only; leave blank for normal BEAST!)</t>
  </si>
  <si>
    <t>strict</t>
  </si>
  <si>
    <t>clockModel_relRates</t>
  </si>
  <si>
    <t>Names for relative rates, *within* a clock model (if desired)</t>
  </si>
  <si>
    <t>The lower limit on the birthRate (may be different from what the prior allows)</t>
  </si>
  <si>
    <t>The upper limit on the birthRate (may be different from what the prior allows)</t>
  </si>
  <si>
    <t>birthRate_min</t>
  </si>
  <si>
    <t>birthRate_max</t>
  </si>
  <si>
    <t>The lower limit on the deathRate (may be different from what the prior allows)</t>
  </si>
  <si>
    <t>The upper limit on the deathRate (may be different from what the prior allows)</t>
  </si>
  <si>
    <t>deathRate_min</t>
  </si>
  <si>
    <t>deathRate_max</t>
  </si>
  <si>
    <t>The lower limit on the samplingRate (may be different from what the prior allows)</t>
  </si>
  <si>
    <t>The upper limit on the samplingRate (may be different from what the prior allows)</t>
  </si>
  <si>
    <t>samplingRate_min</t>
  </si>
  <si>
    <t>samplingRate_max</t>
  </si>
  <si>
    <t>The lower limit on the clockRate (may be different from what the prior allows)</t>
  </si>
  <si>
    <t>The upper limit on the clockRate (may be different from what the prior allows)</t>
  </si>
  <si>
    <t>clockrate_min</t>
  </si>
  <si>
    <t>clockrate_max</t>
  </si>
  <si>
    <t>clockSD_min</t>
  </si>
  <si>
    <t>clockSD_max</t>
  </si>
  <si>
    <t>d</t>
  </si>
  <si>
    <t>Choice:</t>
  </si>
  <si>
    <t xml:space="preserve">Note: filters applied to the sequence alignments produce partitions.  </t>
  </si>
  <si>
    <t>Used only to provide a base string for other names</t>
  </si>
  <si>
    <t>(but for DNA data, if you want two partitions/filteredAlignments to share a relRate, give them the same relRate name here)</t>
  </si>
  <si>
    <t>Type of clock model (specifying rate variation among branches)</t>
  </si>
  <si>
    <t>THE PRIOR ON THE CLOCKRATE mean IS *VERY* IMPORTANT. IF YOUR ANALYSIS COVERS MILLIONS OF YEARS, YOUR CLOCKRATE SHOULD BE LOW, something like 0.01 substitutions/site/my or you don't have much hope. (So, using the defaults like a prior of Uniform(0, 100) or Exponential(1) may not be the best idea.)</t>
  </si>
  <si>
    <t xml:space="preserve">Name of the NEXUS file. Should be a "Simplified NEXUS" file from Mesquite.
And: MAKE SURE there are NO apostrophe marks, and NO SPACES in species names
</t>
  </si>
  <si>
    <t>construct_starting_tree</t>
  </si>
  <si>
    <t>(Note: upgma now specifies neighborjoining2, best for tipdating)</t>
  </si>
  <si>
    <t>OPTIONS:</t>
  </si>
  <si>
    <t>Note: It *doesn't* have to be a complete match…so make sure the identifying string is unique!</t>
  </si>
  <si>
    <t>The NEXUS data files will be searched for specimen names matching this string.</t>
  </si>
  <si>
    <t>SECTION 3.5: TAXONSETS (used *only* for STARBEAST2…ignored otherwise)</t>
  </si>
  <si>
    <t>Diversity data:</t>
  </si>
  <si>
    <t>Loci selection criteria:</t>
  </si>
  <si>
    <t>OneOnX</t>
  </si>
  <si>
    <t>For lognormal distributions, means should be in real space (but you may also use an offset, also in real space).</t>
  </si>
  <si>
    <t>For exponential distributions, the param1 should be in real space, and represents the mean of the rate. Also, param2 is ignored for exponential distributions.</t>
  </si>
  <si>
    <t>For OneOnX (prior density on rate is proportional to 1/rate value), param1 and param2 are ignored. However, rate min above 0 and max below Inf are required to make the improper OneOnX prior into a proper prior.</t>
  </si>
  <si>
    <t>MkInf (YES implemented, but slow; see Matzke &amp; Irmis, PeerJ)</t>
  </si>
  <si>
    <t>If two or more rows are identical, they get combined into the same dataset in the XML, and one likelihood calculation is performed, using whatever siteModel is specified first.</t>
  </si>
  <si>
    <t>Default: blank: every siteModel gets different estimated base frequencies</t>
  </si>
  <si>
    <t>(currently: for DNA only)</t>
  </si>
  <si>
    <t>(so that they can be re-used across partitions, if desired)</t>
  </si>
  <si>
    <t>(so that it can be re-used across partitions/siteModels, if desired)</t>
  </si>
  <si>
    <t>Default: blank: every siteModel gets different estimated gamma parameter</t>
  </si>
  <si>
    <t>Every clockModel_name comes with a clockrate, and, possibly, an SD</t>
  </si>
  <si>
    <t>Varying rates within the same clockModel get relRates. If you want entirely different clockmodels, change clockModel_name.</t>
  </si>
  <si>
    <t>baseFreqs_params_suffix</t>
  </si>
  <si>
    <t>kappa_for_HKY_suffix</t>
  </si>
  <si>
    <t>gammaShape_suffix</t>
  </si>
  <si>
    <t>Suffix for the gammaShape parameter, for gamma-distributed sitewise rate variation</t>
  </si>
  <si>
    <t>The suffix for the name of the kappa parameter for the HKY model</t>
  </si>
  <si>
    <t>Default: blank: every siteModel gets different estimated kappa parameter</t>
  </si>
  <si>
    <t>The suffix of the base frequencies parameters</t>
  </si>
  <si>
    <t>(if you have only 1 shared kappa, this is equivalent to having 1 shared HKY model, but may give you more flexibility)</t>
  </si>
  <si>
    <t>Mk_unord/
Mk_ord
For MkA, set column "baseFreqs" to "estimate"; and ascertainment to "noabsencesites" (as per Pyron 2016)</t>
  </si>
  <si>
    <t>morph_transition_rates</t>
  </si>
  <si>
    <t>morph_transition_rates: Do you want…</t>
  </si>
  <si>
    <t>"symmetric": different rates but symmetric (similar to GTR)</t>
  </si>
  <si>
    <t>"asymmetric": different rates in all directions between states</t>
  </si>
  <si>
    <t>"equal": equal rates between states (default)</t>
  </si>
  <si>
    <t>noabsencesites (no 0)</t>
  </si>
  <si>
    <t>nopresencesites (no 1)</t>
  </si>
  <si>
    <t>depreciated: use "Model" column</t>
  </si>
  <si>
    <t>Different name for each different siteModel (can be shared across data partitions)!</t>
  </si>
  <si>
    <t>Morph default: fixed/equal
estimate</t>
  </si>
  <si>
    <t>DNA estimate</t>
  </si>
  <si>
    <t>empirical (calculate straight from the partition, then fix; using "estimate=true" in the frequencies XML)</t>
  </si>
  <si>
    <t>fixed/equal (fixed to be equal)
estimate (make free parameters)</t>
  </si>
  <si>
    <t>(Alternatively for MkA, it is probably equivalent to have the base frequencies fixed, and the rates asymmetric)</t>
  </si>
  <si>
    <t>Brownian (continuous only)</t>
  </si>
  <si>
    <t>Prevosti 2009 dataset</t>
  </si>
  <si>
    <t>The partitions will be:
unique(seqs_df$filteredAlignmentName)</t>
  </si>
  <si>
    <t>(morphology data automatically have this -- leave blank for morph; make different clocks if you want multiple morphology partitions)</t>
  </si>
  <si>
    <t>assumed_nstates</t>
  </si>
  <si>
    <t>max_num_patterns</t>
  </si>
  <si>
    <t xml:space="preserve">Maximum number of unobservable patterns to list for ascertainment bias correction: </t>
  </si>
  <si>
    <t xml:space="preserve">mostly to keep your R script and/or BEAST from crashing, when they try to 
write out, or read in, the potentially BILLIONS of </t>
  </si>
  <si>
    <t>unobservable site patterns that there are for, say, a 5-state unordered character with 100 taxa</t>
  </si>
  <si>
    <t>default (if blank): 2500 patterns</t>
  </si>
  <si>
    <t>default:blank, meaning infer from data</t>
  </si>
  <si>
    <t>(mostly because this might be what MrBayes has actually been doing)</t>
  </si>
  <si>
    <t>assumed nstates -- Assumed number of states</t>
  </si>
  <si>
    <t>if e.g. you want to run a 2-state correction on a 3-state character</t>
  </si>
  <si>
    <t>(only effects ascertainment-bias correction, not rate matrices)</t>
  </si>
  <si>
    <t>starBeast2_CalibratedYule</t>
  </si>
  <si>
    <t>starBeast2_BD</t>
  </si>
  <si>
    <t>A minimum age, for subtracting from the original values, to produce param1 and param2</t>
  </si>
  <si>
    <t>Minimum of the clock SD parameter</t>
  </si>
  <si>
    <t>default:
0.0000001</t>
  </si>
  <si>
    <t>Maximum of the clock SD parameter</t>
  </si>
  <si>
    <t>default:
10</t>
  </si>
  <si>
    <t>OneOnX: requires that min/max be set for the rate parameter</t>
  </si>
  <si>
    <t xml:space="preserve">Source of dates: </t>
  </si>
  <si>
    <t>Master directory for data files:</t>
  </si>
  <si>
    <t>ucld</t>
  </si>
  <si>
    <t>Atelocynus_microtis</t>
  </si>
  <si>
    <t>Lupulella_adustus</t>
  </si>
  <si>
    <t>Canis_antonii</t>
  </si>
  <si>
    <t>Canis_armbrusteri</t>
  </si>
  <si>
    <t>Canis_arnensis</t>
  </si>
  <si>
    <t>Canis_atrox</t>
  </si>
  <si>
    <t>Canis_aureus</t>
  </si>
  <si>
    <t>Canis_anthus</t>
  </si>
  <si>
    <t>Canis_brevirostris</t>
  </si>
  <si>
    <t>Canis_cedazoensis</t>
  </si>
  <si>
    <t>Canis_chanco</t>
  </si>
  <si>
    <t>Canis_chihliensis</t>
  </si>
  <si>
    <t>Canis_cyonoides</t>
  </si>
  <si>
    <t>Canis_dirus</t>
  </si>
  <si>
    <t>Canis_edwardii</t>
  </si>
  <si>
    <t>Canis_etruscus</t>
  </si>
  <si>
    <t>Canis_familiaris</t>
  </si>
  <si>
    <t>Canis_feneus</t>
  </si>
  <si>
    <t>Canis_ferox</t>
  </si>
  <si>
    <t>Canis_himalayensis</t>
  </si>
  <si>
    <t>Canis_indica</t>
  </si>
  <si>
    <t>Canis_latrans</t>
  </si>
  <si>
    <t>Canis_lepophagus</t>
  </si>
  <si>
    <t>Canis_longdanensis</t>
  </si>
  <si>
    <t>Canis_lupus</t>
  </si>
  <si>
    <t>Lupulella_mesomelas</t>
  </si>
  <si>
    <t>Canis_michauxi</t>
  </si>
  <si>
    <t>Canis_mosbachensis</t>
  </si>
  <si>
    <t>Canis_palmidens</t>
  </si>
  <si>
    <t>Canis_pinjorensis</t>
  </si>
  <si>
    <t>Canis_rufus</t>
  </si>
  <si>
    <t>Canis_simensis</t>
  </si>
  <si>
    <t>Canis_teilhardi</t>
  </si>
  <si>
    <t>Canis_thooides</t>
  </si>
  <si>
    <t>Canis_variabilis</t>
  </si>
  <si>
    <t>Canis_yuanmouensis</t>
  </si>
  <si>
    <t>Cerdocyon_avius</t>
  </si>
  <si>
    <t>Cerdocyon_texanus</t>
  </si>
  <si>
    <t>Cerdocyon_thous</t>
  </si>
  <si>
    <t>Chrysocyon_brachyurus</t>
  </si>
  <si>
    <t>Chrysocyon_nearcticus</t>
  </si>
  <si>
    <t>Cuon_alpinus</t>
  </si>
  <si>
    <t>Cuon_dubius</t>
  </si>
  <si>
    <t>Cuon_javanicus</t>
  </si>
  <si>
    <t>Cuon_priscus</t>
  </si>
  <si>
    <t>Cuon_simplicidens</t>
  </si>
  <si>
    <t>Cynotherium_sardous</t>
  </si>
  <si>
    <t>Cynotherium_malatestai</t>
  </si>
  <si>
    <t>Dusicyon_australis</t>
  </si>
  <si>
    <t>Dusicyon_avus</t>
  </si>
  <si>
    <t>Eucyon_adoxus</t>
  </si>
  <si>
    <t>Eucyon_cipio</t>
  </si>
  <si>
    <t>Eucyon_davisi</t>
  </si>
  <si>
    <t>Eucyon_debonisi</t>
  </si>
  <si>
    <t>Eucyon_intrepidus</t>
  </si>
  <si>
    <t>Eucyon_kuruksaensis</t>
  </si>
  <si>
    <t>Eucyon_kuta</t>
  </si>
  <si>
    <t>Eucyon_marinae</t>
  </si>
  <si>
    <t>Eucyon_minimus</t>
  </si>
  <si>
    <t>Eucyon_monticinensis</t>
  </si>
  <si>
    <t>Eucyon_odessanus</t>
  </si>
  <si>
    <t>Eucyon_skinneri</t>
  </si>
  <si>
    <t>Eucyon_wokari</t>
  </si>
  <si>
    <t>Eucyon_zhoui</t>
  </si>
  <si>
    <t>Leptocyon_delicatus</t>
  </si>
  <si>
    <t>Leptocyon_douglassi</t>
  </si>
  <si>
    <t>Leptocyon_gregorii</t>
  </si>
  <si>
    <t>Leptocyon_leidyi</t>
  </si>
  <si>
    <t>Leptocyon_matthewi</t>
  </si>
  <si>
    <t>Leptocyon_mollis</t>
  </si>
  <si>
    <t>Leptocyon_tejonensis</t>
  </si>
  <si>
    <t>Leptocyon_vafer</t>
  </si>
  <si>
    <t>Leptocyon_vulpinus</t>
  </si>
  <si>
    <t>Lupulella_mohibi</t>
  </si>
  <si>
    <t>Lupulella_paralius</t>
  </si>
  <si>
    <t>Lycalopex_culpaeus</t>
  </si>
  <si>
    <t>Lycalopex_fulvipes</t>
  </si>
  <si>
    <t>Lycalopex_griseus</t>
  </si>
  <si>
    <t>Lycalopex_gymnocercus</t>
  </si>
  <si>
    <t>Lycalopex_sechurae</t>
  </si>
  <si>
    <t>Pseudalopex_vetulus</t>
  </si>
  <si>
    <t>Lycaon_pictus</t>
  </si>
  <si>
    <t>Lycaon_sekowei</t>
  </si>
  <si>
    <t>Mececyon_trinilensis</t>
  </si>
  <si>
    <t>Metalopex_bakeri</t>
  </si>
  <si>
    <t>Metalopex_macconnelli</t>
  </si>
  <si>
    <t>Metalopex_merriami</t>
  </si>
  <si>
    <t>Nurocyon_chonokhariensis</t>
  </si>
  <si>
    <t>Nyctereutes_abdeslami</t>
  </si>
  <si>
    <t>Nyctereutes_barryi</t>
  </si>
  <si>
    <t>Nyctereutes_donnezani</t>
  </si>
  <si>
    <t>Nyctereutes_lockwoodi</t>
  </si>
  <si>
    <t>Nyctereutes_megamastoides</t>
  </si>
  <si>
    <t>Nyctereutes_procyonoides</t>
  </si>
  <si>
    <t>Nyctereutes_sinensis</t>
  </si>
  <si>
    <t>Nyctereutes_tingi</t>
  </si>
  <si>
    <t>Nyctereutes_terblanchei</t>
  </si>
  <si>
    <t>Otocyon_megalotis</t>
  </si>
  <si>
    <t>Protocyon_gezi</t>
  </si>
  <si>
    <t>Protocyon_scagliarum</t>
  </si>
  <si>
    <t>Protocyon_tarijensis</t>
  </si>
  <si>
    <t>Protocyon_troglodytes</t>
  </si>
  <si>
    <t>Prototocyon_curvipalatus</t>
  </si>
  <si>
    <t>Prototocyon_recki</t>
  </si>
  <si>
    <t>Speothos_pacivorous</t>
  </si>
  <si>
    <t>Speothos_venaticus</t>
  </si>
  <si>
    <t>Theriodictis_floridanus</t>
  </si>
  <si>
    <t>Theriodictis_platensis</t>
  </si>
  <si>
    <t>Urocyon_cinereoargenteus</t>
  </si>
  <si>
    <t>Urocyon_citrinus</t>
  </si>
  <si>
    <t>Urocyon_galushai</t>
  </si>
  <si>
    <t>Urocyon_littoralis</t>
  </si>
  <si>
    <t>Urocyon_minicephalus</t>
  </si>
  <si>
    <t>Urocyon_progressus</t>
  </si>
  <si>
    <t>Urocyon_webbi</t>
  </si>
  <si>
    <t>Vulpes_alopecoides</t>
  </si>
  <si>
    <t>Vulpes_beihaiensis</t>
  </si>
  <si>
    <t>Vulpes_bengalensis</t>
  </si>
  <si>
    <t>Vulpes_cana</t>
  </si>
  <si>
    <t>Vulpes_chama</t>
  </si>
  <si>
    <t>Vulpes_chikushanensis</t>
  </si>
  <si>
    <t>Vulpes_corsac</t>
  </si>
  <si>
    <t>Vulpes_galaticus</t>
  </si>
  <si>
    <t>Vulpes_ferrilata</t>
  </si>
  <si>
    <t>Vulpes_hassani</t>
  </si>
  <si>
    <t>Vulpes_kernensis</t>
  </si>
  <si>
    <t>Vulpes_lagopus</t>
  </si>
  <si>
    <t>Vulpes_macrotis</t>
  </si>
  <si>
    <t>Vulpes_mathisoni</t>
  </si>
  <si>
    <t>Vulpes_pallida</t>
  </si>
  <si>
    <t>Vulpes_pattisoni</t>
  </si>
  <si>
    <t>Vulpes_praecorsac</t>
  </si>
  <si>
    <t>Vulpes_praeglacialis</t>
  </si>
  <si>
    <t>Vulpes_pulcher</t>
  </si>
  <si>
    <t>Vulpes_riffautae</t>
  </si>
  <si>
    <t>Vulpes_stenognathus</t>
  </si>
  <si>
    <t>Vulpes_velox</t>
  </si>
  <si>
    <t>Vulpes_vulpes</t>
  </si>
  <si>
    <t>Vulpes_zerda</t>
  </si>
  <si>
    <t>Xenocyon_falconeri</t>
  </si>
  <si>
    <t>Xenocyon_lycaonoides</t>
  </si>
  <si>
    <t>Xenocyon_texanus</t>
  </si>
  <si>
    <t>Aelurodon_asthenostylus</t>
  </si>
  <si>
    <t>Aelurodon_ferox</t>
  </si>
  <si>
    <t>Aelurodon_mcgrewi</t>
  </si>
  <si>
    <t>Aelurodon_stirtoni</t>
  </si>
  <si>
    <t>Aelurodon_taxoides</t>
  </si>
  <si>
    <t>Archaeocyon_falkenbachi</t>
  </si>
  <si>
    <t>Archaeocyon_leptodus</t>
  </si>
  <si>
    <t>Archaeocyon_pavidus</t>
  </si>
  <si>
    <t>Borophagus_diversidens</t>
  </si>
  <si>
    <t>Borophagus_dudleyi</t>
  </si>
  <si>
    <t>Borophagus_hilli</t>
  </si>
  <si>
    <t>Borophagus_littoralis</t>
  </si>
  <si>
    <t>Borophagus_orc</t>
  </si>
  <si>
    <t>Borophagus_parvus</t>
  </si>
  <si>
    <t>Borophagus_pugnator</t>
  </si>
  <si>
    <t>Borophagus_secundus</t>
  </si>
  <si>
    <t>Carpocyon_compressus</t>
  </si>
  <si>
    <t>Carpocyon_limosus</t>
  </si>
  <si>
    <t>Carpocyon_robustus</t>
  </si>
  <si>
    <t>Carpocyon_webbi</t>
  </si>
  <si>
    <t>Cormocyon_copei</t>
  </si>
  <si>
    <t>Cormocyon_haydeni</t>
  </si>
  <si>
    <t>Cynarctoides_acridens</t>
  </si>
  <si>
    <t>Cynarctoides_emryi</t>
  </si>
  <si>
    <t>Cynarctoides_gawnae</t>
  </si>
  <si>
    <t>Cynarctoides_harlowi</t>
  </si>
  <si>
    <t>Cynarctoides_lemur</t>
  </si>
  <si>
    <t>Cynarctoides_luskensis</t>
  </si>
  <si>
    <t>Cynarctoides_roii</t>
  </si>
  <si>
    <t>Cynarctus_crucidens</t>
  </si>
  <si>
    <t>Cynarctus_galushai</t>
  </si>
  <si>
    <t>Cynarctus_marylandica</t>
  </si>
  <si>
    <t>Cynarctus_saxatilis</t>
  </si>
  <si>
    <t>Cynarctus_voorhiesi</t>
  </si>
  <si>
    <t>Desmocyon_matthewi</t>
  </si>
  <si>
    <t>Desmocyon_thomsoni</t>
  </si>
  <si>
    <t>Epicyon_aelurodontoides</t>
  </si>
  <si>
    <t>Epicyon_haydeni</t>
  </si>
  <si>
    <t>Epicyon_saevus</t>
  </si>
  <si>
    <t>Euoplocyon_brachygnathus</t>
  </si>
  <si>
    <t>Euoplocyon_spissidens</t>
  </si>
  <si>
    <t>Metatomarctus_canavus</t>
  </si>
  <si>
    <t>Microtomarctus_conferta</t>
  </si>
  <si>
    <t>Otarocyon_cooki</t>
  </si>
  <si>
    <t>Otarocyon_macdonaldi</t>
  </si>
  <si>
    <t>Oxetocyon_cuspidatus</t>
  </si>
  <si>
    <t>Paracynarctus_kelloggi</t>
  </si>
  <si>
    <t>Paracynarctus_sinclairi</t>
  </si>
  <si>
    <t>Paratomarctus_euthos</t>
  </si>
  <si>
    <t>Paratomarctus_temerarius</t>
  </si>
  <si>
    <t>Phlaocyon_achoros</t>
  </si>
  <si>
    <t>Phlaocyon_annectens</t>
  </si>
  <si>
    <t>Phlaocyon_leucosteus</t>
  </si>
  <si>
    <t>Phlaocyon_latidens</t>
  </si>
  <si>
    <t>Phlaocyon_mariae</t>
  </si>
  <si>
    <t>Phlaocyon_marslandensis</t>
  </si>
  <si>
    <t>Phlaocyon_minor</t>
  </si>
  <si>
    <t>Phlaocyon_multicuspus</t>
  </si>
  <si>
    <t>Phlaocyon_yatkolai</t>
  </si>
  <si>
    <t>Protepicyon_raki</t>
  </si>
  <si>
    <t>Protomarctus_optatus</t>
  </si>
  <si>
    <t>Psalidocyon_marianae</t>
  </si>
  <si>
    <t>Rhizocyon_oregonensis</t>
  </si>
  <si>
    <t>Tephrocyon_rurestris</t>
  </si>
  <si>
    <t>Tomarctus_brevirostris</t>
  </si>
  <si>
    <t>Tomarctus_hippophaga</t>
  </si>
  <si>
    <t>Caedocyon_tedfordi</t>
  </si>
  <si>
    <t>Cynodesmus_martini</t>
  </si>
  <si>
    <t>Cynodesmus_thooides</t>
  </si>
  <si>
    <t>Ectopocynus_antiquus</t>
  </si>
  <si>
    <t>Ectopocynus_intermedius</t>
  </si>
  <si>
    <t>Ectopocynus_simplicidens</t>
  </si>
  <si>
    <t>Enhydrocyon_basilatus</t>
  </si>
  <si>
    <t>Enhydrocyon_crassidens</t>
  </si>
  <si>
    <t>Enhydrocyon_pahinsintewakpa</t>
  </si>
  <si>
    <t>Enhydrocyon_stenocephalus</t>
  </si>
  <si>
    <t>Hesperocyon_coloradensis</t>
  </si>
  <si>
    <t>Hesperocyon_gregarius</t>
  </si>
  <si>
    <t>Hesperocyon_pavidus</t>
  </si>
  <si>
    <t>Mesocyon_brachyops</t>
  </si>
  <si>
    <t>Mesocyon_coryphaeus</t>
  </si>
  <si>
    <t>Mesocyon_temnodon</t>
  </si>
  <si>
    <t>Osbornodon_brachypus</t>
  </si>
  <si>
    <t>Osbornodon_fricki</t>
  </si>
  <si>
    <t>Osbornodon_iamonensis</t>
  </si>
  <si>
    <t>Osbornodon_renjiei</t>
  </si>
  <si>
    <t>Osbornodon_sesnoni</t>
  </si>
  <si>
    <t>Paraenhydrocyon_josephi</t>
  </si>
  <si>
    <t>Paraenhydrocyon_robustus</t>
  </si>
  <si>
    <t>Paraenhydrocyon_wallovianus</t>
  </si>
  <si>
    <t>Philotrox_condoni</t>
  </si>
  <si>
    <t>Prohesperocyon_wilsoni</t>
  </si>
  <si>
    <t>Sunkahetanka_geringensis</t>
  </si>
  <si>
    <t>These Excel worksheets contain the settings for a BEASTmasteR run, converting morphology + fossil dates + node age priors into Beast 2 XML.</t>
  </si>
  <si>
    <t>Assembled by Nicholas J. Matzke and Laura K. Saila</t>
  </si>
  <si>
    <t>35 living species (rho=1)</t>
  </si>
  <si>
    <t>total_group_LCA</t>
  </si>
  <si>
    <t>seqs_morph2</t>
  </si>
  <si>
    <t>shared_tree</t>
  </si>
  <si>
    <t>Mk_unord</t>
  </si>
  <si>
    <t>equal</t>
  </si>
  <si>
    <t>kappa_shared</t>
  </si>
  <si>
    <t>HKY</t>
  </si>
  <si>
    <t>shared_clock</t>
  </si>
  <si>
    <t>runthis_v1.xml</t>
  </si>
  <si>
    <t>traceLog.txt</t>
  </si>
  <si>
    <t>treeLog.txt</t>
  </si>
  <si>
    <t>subsLog.txt</t>
  </si>
  <si>
    <t>gammaShape_morphSl</t>
  </si>
  <si>
    <t>gammaShape_morphPr</t>
  </si>
  <si>
    <t>Prevosti</t>
  </si>
  <si>
    <t>Slater</t>
  </si>
  <si>
    <t>sum</t>
  </si>
  <si>
    <t>nodata</t>
  </si>
  <si>
    <t>data</t>
  </si>
  <si>
    <t>num_nodata</t>
  </si>
  <si>
    <t>num_data</t>
  </si>
  <si>
    <t>yesNo</t>
  </si>
  <si>
    <t>subfam</t>
  </si>
  <si>
    <t>Ranks</t>
  </si>
  <si>
    <t>(optional; for convenience)</t>
  </si>
  <si>
    <t>Nyctereutes_sp_Lissasfa</t>
  </si>
  <si>
    <t>Dataset Name -- typically, one per filename is used. 
If blank, filename_df_num is used</t>
  </si>
  <si>
    <t>seqs_DNA</t>
  </si>
  <si>
    <t>Function used to read data file</t>
  </si>
  <si>
    <t>However, for odd formating of ambiguities for DNA/AA data (e.g. coding ambiguities as (a c) or {a c}), you may have to use read_nexus_data2.</t>
  </si>
  <si>
    <t>read_nexus_data2</t>
  </si>
  <si>
    <t>seqs_read_function</t>
  </si>
  <si>
    <t>read_nex_phyloch_to_list</t>
  </si>
  <si>
    <t xml:space="preserve">For morphology (discrete): read_nexus_data2 (required)
For DNA/AA, use read_nex_phyloch_to_list for much faster reading of large files (default). </t>
  </si>
  <si>
    <t>Datatype of input files</t>
  </si>
  <si>
    <t>Morphology must be NEXUS</t>
  </si>
  <si>
    <t>nexus, nex</t>
  </si>
  <si>
    <t>fasta, fas</t>
  </si>
  <si>
    <t>But, DNA can be FASTA or NEXUS</t>
  </si>
  <si>
    <t>If not specified, BEASTmasteR will guess, based on the filename.</t>
  </si>
  <si>
    <t>nexus</t>
  </si>
  <si>
    <t>Vulpes_rueppellii</t>
  </si>
  <si>
    <t>Slater 2009 dataset</t>
  </si>
  <si>
    <t>file_types</t>
  </si>
  <si>
    <t>COI_pos1</t>
  </si>
  <si>
    <t>COI_pos2</t>
  </si>
  <si>
    <t>COI_pos3</t>
  </si>
  <si>
    <t>GTR</t>
  </si>
  <si>
    <t>EVERY partition gets a clock assignment</t>
  </si>
  <si>
    <t xml:space="preserve">The FIRST line for a particular clock should </t>
  </si>
  <si>
    <t>get the rest of the clockrates etc. specified</t>
  </si>
  <si>
    <t>Living and fossil Canidae (virtually everything available); plus manual constraints</t>
  </si>
  <si>
    <t>useNotes</t>
  </si>
  <si>
    <t>Common name</t>
  </si>
  <si>
    <t>common_name</t>
  </si>
  <si>
    <t>Note the common name, if desired</t>
  </si>
  <si>
    <t>e.g. overall study</t>
  </si>
  <si>
    <t>nAmbig</t>
  </si>
  <si>
    <t>PctData</t>
  </si>
  <si>
    <t>numchars_woInvar</t>
  </si>
  <si>
    <t>PctData_woInvar</t>
  </si>
  <si>
    <t>char_is_autapomorphic</t>
  </si>
  <si>
    <t>nstates_per_char</t>
  </si>
  <si>
    <t>state0</t>
  </si>
  <si>
    <t>state1</t>
  </si>
  <si>
    <t>state2</t>
  </si>
  <si>
    <t>state3</t>
  </si>
  <si>
    <t>state4</t>
  </si>
  <si>
    <t>Two morphology partitions get the SAME datasetName</t>
  </si>
  <si>
    <t>Aramides_axillaris_0</t>
  </si>
  <si>
    <t>Amaurornis_flavirostris_0</t>
  </si>
  <si>
    <t>Amaurornis_phoenicurus_0</t>
  </si>
  <si>
    <t>Aramides_cajanea_0</t>
  </si>
  <si>
    <t>Crex_crex_0</t>
  </si>
  <si>
    <t>Eulabeornis_castaneoventris_0</t>
  </si>
  <si>
    <t>Dryolimnas_cuvieri_0</t>
  </si>
  <si>
    <t>Fulica_americana_0</t>
  </si>
  <si>
    <t>Fulica_atra_0</t>
  </si>
  <si>
    <t>Fulica_ardesiaca_0</t>
  </si>
  <si>
    <t>Fulica_leucoptera_0</t>
  </si>
  <si>
    <t>Fulica_rufifrons_0</t>
  </si>
  <si>
    <t>Fulica_armillata_0</t>
  </si>
  <si>
    <t>Gallinula_angulata_0</t>
  </si>
  <si>
    <t>Gallinula_chloropus_0</t>
  </si>
  <si>
    <t>Gallicrex_cinerea_0</t>
  </si>
  <si>
    <t>Gallinula_tenebrosa_0</t>
  </si>
  <si>
    <t>Gallinula_mortierii_0</t>
  </si>
  <si>
    <t>Gallinula_ventralis_0</t>
  </si>
  <si>
    <t>Laterallus_exilis_0</t>
  </si>
  <si>
    <t>Laterallus_melanophaius_0</t>
  </si>
  <si>
    <t>Laterallus_viridis_0</t>
  </si>
  <si>
    <t>Neocrex_erythrops_0</t>
  </si>
  <si>
    <t>Nesoclopeus_woodfordi_0</t>
  </si>
  <si>
    <t>Pardirallus_nigricans_0</t>
  </si>
  <si>
    <t>Pardirallus_sanguinolentus_0</t>
  </si>
  <si>
    <t>Pardirallus_maculatus_0</t>
  </si>
  <si>
    <t>Porzana_porzana_0</t>
  </si>
  <si>
    <t>Rallus_limicola_0</t>
  </si>
  <si>
    <t>Rallus_longirostris_0</t>
  </si>
  <si>
    <t>Rallina_fasciata_0</t>
  </si>
  <si>
    <t>Rallina_tricolor_0</t>
  </si>
  <si>
    <t>Porphyrio_martinica_0</t>
  </si>
  <si>
    <t>Gallirallus_philippensis_0</t>
  </si>
  <si>
    <t>Aenigmatolimnas_marginalis_0</t>
  </si>
  <si>
    <t>Amaurolimnas_concolor_0</t>
  </si>
  <si>
    <t>Amaurornis_moluccana_0</t>
  </si>
  <si>
    <t>Aramides_saracura_0</t>
  </si>
  <si>
    <t>Coturnicops_noveboracensis_0</t>
  </si>
  <si>
    <t>Crex_egregia_0</t>
  </si>
  <si>
    <t>Fulica_gigantea_0</t>
  </si>
  <si>
    <t>Fulica_cristata_0</t>
  </si>
  <si>
    <t>Gallirallus_calayanensis_0</t>
  </si>
  <si>
    <t>Gallirallus_torquatus_0</t>
  </si>
  <si>
    <t>Gallirallus_striatus_0</t>
  </si>
  <si>
    <t>Laterallus_albigularis_0</t>
  </si>
  <si>
    <t>Laterallus_leucopyrrhus_0</t>
  </si>
  <si>
    <t>Laterallus_jamaicaensis_0</t>
  </si>
  <si>
    <t>Megacrex_inepta_0</t>
  </si>
  <si>
    <t>Micropygia_schomburgkii_0</t>
  </si>
  <si>
    <t>Porzana_cinerea_0</t>
  </si>
  <si>
    <t>Porzana_fusca_0</t>
  </si>
  <si>
    <t>Porphyrio_madagascariensis_0</t>
  </si>
  <si>
    <t>Porzana_parva_0</t>
  </si>
  <si>
    <t>Rallina_eurizonoides_0</t>
  </si>
  <si>
    <t>Atlantisia_rogersi_0</t>
  </si>
  <si>
    <t>Himantornis_haematopus_0</t>
  </si>
  <si>
    <t>Gallirallus_owstoni_0</t>
  </si>
  <si>
    <t>Rougetius_rougetii_0</t>
  </si>
  <si>
    <t>Porphyrio_melanotus_0</t>
  </si>
  <si>
    <t>Porphyrio_alleni_0</t>
  </si>
  <si>
    <t>Lewinia_pectoralis_0</t>
  </si>
  <si>
    <t>Porphyrio_poliocephalus_0</t>
  </si>
  <si>
    <t>Porphyrio_melanopterus_0</t>
  </si>
  <si>
    <t>Porphyrio_indicus_0</t>
  </si>
  <si>
    <t>Porphyrio_porphyrio_0</t>
  </si>
  <si>
    <t>Porphyrio_ellioti_0</t>
  </si>
  <si>
    <t>Porphyrio_pulverulentus_0</t>
  </si>
  <si>
    <t>Porphyrio_kukwiedei_0</t>
  </si>
  <si>
    <t>Porphyrio_mantelli_0</t>
  </si>
  <si>
    <t>Porphyrio_hochstetteri_0</t>
  </si>
  <si>
    <t>Habroptila_wallacii_0</t>
  </si>
  <si>
    <t>Gymnocrex_rosenbergii_0</t>
  </si>
  <si>
    <t>Gymnocrex_plumbeiventris_0</t>
  </si>
  <si>
    <t>Aramides_calopterus_0</t>
  </si>
  <si>
    <t>Aramides_mangle_0</t>
  </si>
  <si>
    <t>Aramides_wolfi_0</t>
  </si>
  <si>
    <t>Aramides_albiventris_0</t>
  </si>
  <si>
    <t>Aramides_mexicana_0</t>
  </si>
  <si>
    <t>Aramides_plumbeicollis_0</t>
  </si>
  <si>
    <t>Aramides_ypecaha_0</t>
  </si>
  <si>
    <t>Aramides_castaneiceps_0</t>
  </si>
  <si>
    <t>Cyanolimnas_cerverai_0</t>
  </si>
  <si>
    <t>Rallus_madagascariensis_0</t>
  </si>
  <si>
    <t>Tricholimnas_sylvestris_0</t>
  </si>
  <si>
    <t>Gallirallus_lafresnayanus_0</t>
  </si>
  <si>
    <t>Nesoclopeus_poecilopterus_0</t>
  </si>
  <si>
    <t>Gallirallus_immaculatus_0</t>
  </si>
  <si>
    <t>Aramidopsis_plateni_0</t>
  </si>
  <si>
    <t>Rallus_aquaticus_0</t>
  </si>
  <si>
    <t>Rallus_indicus_0</t>
  </si>
  <si>
    <t>Rallus_caerulescens_0</t>
  </si>
  <si>
    <t>Rallus_semiplumbeus_0</t>
  </si>
  <si>
    <t>Rallus_antarcticus_0</t>
  </si>
  <si>
    <t>Rallus_elegans_0</t>
  </si>
  <si>
    <t>Rallus_wetmorei_0</t>
  </si>
  <si>
    <t>Gallirallus_dieffenbachii_0</t>
  </si>
  <si>
    <t>Gallirallus_rovianae_0</t>
  </si>
  <si>
    <t>Gallirallus_wakensis_0</t>
  </si>
  <si>
    <t>Lewinia_muelleri_0</t>
  </si>
  <si>
    <t>Lewinia_mirificus_0</t>
  </si>
  <si>
    <t>Gallirallus_australis_0</t>
  </si>
  <si>
    <t>Gallirallus_modestus_0</t>
  </si>
  <si>
    <t>Gallirallus_karamu_0</t>
  </si>
  <si>
    <t>Gallirallus_insignis_0</t>
  </si>
  <si>
    <t>Gallirallus_okinawae_0</t>
  </si>
  <si>
    <t>Aphanapteryx_bonasia_0</t>
  </si>
  <si>
    <t>Rallina_canningi_0</t>
  </si>
  <si>
    <t>Coturnicops_exquisitus_0</t>
  </si>
  <si>
    <t>Coturnicops_notatus_0</t>
  </si>
  <si>
    <t>Atlantisia_elpenor_0</t>
  </si>
  <si>
    <t>Laterallus_fasciatus_0</t>
  </si>
  <si>
    <t>Laterallus_ruber_0</t>
  </si>
  <si>
    <t>Laterallus_levraudi_0</t>
  </si>
  <si>
    <t>Laterallus_xenopterus_0</t>
  </si>
  <si>
    <t>Laterallus_spilonotus_0</t>
  </si>
  <si>
    <t>Porzana_spiloptera_0</t>
  </si>
  <si>
    <t>Porzana_flaviventer_0</t>
  </si>
  <si>
    <t>Porzana_carolina_0</t>
  </si>
  <si>
    <t>Porzana_albicollis_0</t>
  </si>
  <si>
    <t>Porzana_pusilla_0</t>
  </si>
  <si>
    <t>Porzana_fluminea_0</t>
  </si>
  <si>
    <t>Porzana_paykullii_0</t>
  </si>
  <si>
    <t>Amaurornis_bicolor_0</t>
  </si>
  <si>
    <t>Amaurornis_olivieri_0</t>
  </si>
  <si>
    <t>Porzana_flavirostra_0</t>
  </si>
  <si>
    <t>Porzana_monasa_0</t>
  </si>
  <si>
    <t>Porzana_atra_0</t>
  </si>
  <si>
    <t>Porzana_tabuensis_0</t>
  </si>
  <si>
    <t>Porzana_palmeri_0</t>
  </si>
  <si>
    <t>Porzana_sandwichensis_0</t>
  </si>
  <si>
    <t>Neocrex_colombianus_0</t>
  </si>
  <si>
    <t>Amaurornis_olivaceus_0</t>
  </si>
  <si>
    <t>Amaurornis_akool_0</t>
  </si>
  <si>
    <t>Amaurornis_isabellinus_0</t>
  </si>
  <si>
    <t>Porphyriops_melanops_0</t>
  </si>
  <si>
    <t>Gallinula_galeata_0</t>
  </si>
  <si>
    <t>Gallinula_nesiotis_0</t>
  </si>
  <si>
    <t>Gallinula_comeri_0</t>
  </si>
  <si>
    <t>Gallinula_silvestris_0</t>
  </si>
  <si>
    <t>Gallinula_pacifica_0</t>
  </si>
  <si>
    <t>Tribonyx_hodgenorum_0</t>
  </si>
  <si>
    <t>Hovacrex_roberti_0</t>
  </si>
  <si>
    <t>Fulica_cornuta_0</t>
  </si>
  <si>
    <t>Fulica_chathamensis_0</t>
  </si>
  <si>
    <t>Fulica_newtoni_0</t>
  </si>
  <si>
    <t>Erythromachus_leguati_0</t>
  </si>
  <si>
    <t>Diaphorapteryx_hawkinsi_0</t>
  </si>
  <si>
    <t>Aphanocrex_podarces_0</t>
  </si>
  <si>
    <t>Nesotrochis_debooyi_0</t>
  </si>
  <si>
    <t>Nesotrochis_steganinos_0</t>
  </si>
  <si>
    <t>Porzana_ziegleri_0.12</t>
  </si>
  <si>
    <t>Porzana_ralphorum_0.12</t>
  </si>
  <si>
    <t>Fulica_prisca_0.1</t>
  </si>
  <si>
    <t>Porzana_astrictocarpus_2.1</t>
  </si>
  <si>
    <t>Porzana_menehune_0.01</t>
  </si>
  <si>
    <t>Porzana_servernsi_0.01</t>
  </si>
  <si>
    <t>Porzana_keplerorum_0.01</t>
  </si>
  <si>
    <t>Rallina_forbesi_0</t>
  </si>
  <si>
    <t>Sarothrura_rufa_0</t>
  </si>
  <si>
    <t>Heliornis_fulica_0</t>
  </si>
  <si>
    <t>Psophia_crepitans_0</t>
  </si>
  <si>
    <t>Aramus_guarauna_0</t>
  </si>
  <si>
    <t>Balearica_regulorum_0</t>
  </si>
  <si>
    <t>Grus_canadensis_0</t>
  </si>
  <si>
    <t>Ardeotis_cori_0</t>
  </si>
  <si>
    <t>Aegotheles_insignis_0</t>
  </si>
  <si>
    <t>Nyctibius_griseus_0</t>
  </si>
  <si>
    <t>Tapera_naevia_0</t>
  </si>
  <si>
    <t>Centropus_bengalensis_0</t>
  </si>
  <si>
    <t>Coccyzus_melacoryphus_0</t>
  </si>
  <si>
    <t>Cuculus_optatus_0</t>
  </si>
  <si>
    <t>Ciconia_nigra_0</t>
  </si>
  <si>
    <t>Leptoptilos_crumeniferus_0</t>
  </si>
  <si>
    <t>Theristicus_caerulescens_0</t>
  </si>
  <si>
    <t>Spheniscus_humboldti_0</t>
  </si>
  <si>
    <t>Gavia_immer_0</t>
  </si>
  <si>
    <t>Anas_superciliosa_0</t>
  </si>
  <si>
    <t>Anser_canagicus_0</t>
  </si>
  <si>
    <t>Aythya_valisineria_0</t>
  </si>
  <si>
    <t>Dendrocygna_viduata_0</t>
  </si>
  <si>
    <t>Oxyura_jamaicensis_0</t>
  </si>
  <si>
    <t>Anseranas_semipalmata_0</t>
  </si>
  <si>
    <t>Bonasa_umbellus_0</t>
  </si>
  <si>
    <t>Gallus_gallus_0</t>
  </si>
  <si>
    <t>Rollulus_rouloul_0</t>
  </si>
  <si>
    <t>Struthio_camelus_0</t>
  </si>
  <si>
    <t>Dromaius_novaehollandiae_0</t>
  </si>
  <si>
    <t>Tinamus_major_0</t>
  </si>
  <si>
    <t>Eudromia_elegans_0</t>
  </si>
  <si>
    <t>/drives/GDrive/__GDrive_projects/2019-02-19_Juan_rails_traits/_Juan_data/03_BEASTmasteR_v1</t>
  </si>
  <si>
    <t>concatenatedNucMt_simp_wPartitions.nex</t>
  </si>
  <si>
    <t>morpho2.nex</t>
  </si>
  <si>
    <t>morpho3.nex</t>
  </si>
  <si>
    <t>morpho4.nex</t>
  </si>
  <si>
    <t>morpho5.nex</t>
  </si>
  <si>
    <t>morpho6.nex</t>
  </si>
  <si>
    <t>seqs_morph3</t>
  </si>
  <si>
    <t>seqs_morph4</t>
  </si>
  <si>
    <t>seqs_morph5</t>
  </si>
  <si>
    <t>seqs_morph6</t>
  </si>
  <si>
    <t>morphFiltered2</t>
  </si>
  <si>
    <t>morphFiltered3</t>
  </si>
  <si>
    <t>morphFiltered4</t>
  </si>
  <si>
    <t>morphFiltered5</t>
  </si>
  <si>
    <t>morphFiltered6</t>
  </si>
  <si>
    <t>Gene1_pos1</t>
  </si>
  <si>
    <t>Gene1_pos2</t>
  </si>
  <si>
    <t>Gene1_pos3</t>
  </si>
  <si>
    <t>Gene2_pos1</t>
  </si>
  <si>
    <t>Gene2_pos2</t>
  </si>
  <si>
    <t>Gene2_pos3</t>
  </si>
  <si>
    <t>Gene3_pos1</t>
  </si>
  <si>
    <t>Gene3_pos2</t>
  </si>
  <si>
    <t>Gene3_pos3</t>
  </si>
  <si>
    <t>Gene4_pos1</t>
  </si>
  <si>
    <t>Gene4_pos2</t>
  </si>
  <si>
    <t>Gene4_pos3</t>
  </si>
  <si>
    <t>Gene5_pos1</t>
  </si>
  <si>
    <t>Gene5_pos2</t>
  </si>
  <si>
    <t>Gene5_pos3</t>
  </si>
  <si>
    <t>Gene6_pos1</t>
  </si>
  <si>
    <t>Gene6_pos2</t>
  </si>
  <si>
    <t>Gene6_pos3</t>
  </si>
  <si>
    <t>Gene7_pos1</t>
  </si>
  <si>
    <t>Gene7_pos2</t>
  </si>
  <si>
    <t>Gene7_pos3</t>
  </si>
  <si>
    <t>Gene8_pos1</t>
  </si>
  <si>
    <t>Gene8_pos2</t>
  </si>
  <si>
    <t>Gene8_pos3</t>
  </si>
  <si>
    <t>Gene9_pos1</t>
  </si>
  <si>
    <t>Gene9_pos2</t>
  </si>
  <si>
    <t>Gene9_pos3</t>
  </si>
  <si>
    <t>Gene10_pos1</t>
  </si>
  <si>
    <t>Gene10_pos2</t>
  </si>
  <si>
    <t>Gene10_pos3</t>
  </si>
  <si>
    <t>Cytb_pos1</t>
  </si>
  <si>
    <t>Cytb_pos2</t>
  </si>
  <si>
    <t>Cytb_pos3</t>
  </si>
  <si>
    <t>16S</t>
  </si>
  <si>
    <t>siteModel_subset1</t>
  </si>
  <si>
    <t>siteModel_subset2</t>
  </si>
  <si>
    <t>siteModel_subset3</t>
  </si>
  <si>
    <t>siteModel_subset4</t>
  </si>
  <si>
    <t>siteModel_subset5</t>
  </si>
  <si>
    <t>siteModel_subset6</t>
  </si>
  <si>
    <t>siteModel_subset7</t>
  </si>
  <si>
    <t>siteModel_subset8</t>
  </si>
  <si>
    <t>siteModel_subset9</t>
  </si>
  <si>
    <t>siteModel_subset10</t>
  </si>
  <si>
    <t>siteModel_subset11</t>
  </si>
  <si>
    <t>siteModel_subset12</t>
  </si>
  <si>
    <t>siteModel_subset13</t>
  </si>
  <si>
    <t>Rallidae</t>
  </si>
  <si>
    <t>~/GitHub/BEASTmasteR/ex/rails/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</si>
</sst>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b/>
      <sz val="12"/>
      <color rgb="FF000000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84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49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49" fontId="0" fillId="0" borderId="0" xfId="0" quotePrefix="1" applyNumberForma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1" fillId="0" borderId="2" xfId="0" applyFont="1" applyBorder="1"/>
    <xf numFmtId="0" fontId="0" fillId="0" borderId="2" xfId="0" applyBorder="1"/>
    <xf numFmtId="49" fontId="4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" fillId="0" borderId="0" xfId="222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0" fontId="4" fillId="0" borderId="0" xfId="0" applyFont="1" applyAlignment="1">
      <alignment horizontal="center" wrapText="1"/>
    </xf>
    <xf numFmtId="0" fontId="8" fillId="0" borderId="0" xfId="0" applyFont="1"/>
    <xf numFmtId="16" fontId="0" fillId="0" borderId="0" xfId="0" applyNumberFormat="1"/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textRotation="90" wrapText="1"/>
    </xf>
    <xf numFmtId="0" fontId="1" fillId="0" borderId="0" xfId="0" applyFont="1" applyAlignment="1">
      <alignment textRotation="90" wrapText="1"/>
    </xf>
    <xf numFmtId="0" fontId="1" fillId="0" borderId="0" xfId="0" applyFont="1" applyAlignment="1">
      <alignment horizontal="left" textRotation="90" wrapText="1"/>
    </xf>
    <xf numFmtId="0" fontId="1" fillId="0" borderId="0" xfId="0" applyFont="1" applyAlignment="1">
      <alignment horizontal="center" textRotation="90" wrapText="1"/>
    </xf>
    <xf numFmtId="0" fontId="7" fillId="0" borderId="0" xfId="0" applyFont="1" applyAlignment="1">
      <alignment textRotation="90" wrapText="1"/>
    </xf>
    <xf numFmtId="0" fontId="0" fillId="0" borderId="0" xfId="0" applyAlignment="1">
      <alignment textRotation="90" wrapText="1"/>
    </xf>
    <xf numFmtId="2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84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3" builtinId="9" hidden="1"/>
    <cellStyle name="Followed Hyperlink" xfId="2224" builtinId="9" hidden="1"/>
    <cellStyle name="Followed Hyperlink" xfId="2225" builtinId="9" hidden="1"/>
    <cellStyle name="Followed Hyperlink" xfId="2226" builtinId="9" hidden="1"/>
    <cellStyle name="Followed Hyperlink" xfId="2227" builtinId="9" hidden="1"/>
    <cellStyle name="Followed Hyperlink" xfId="2228" builtinId="9" hidden="1"/>
    <cellStyle name="Followed Hyperlink" xfId="2229" builtinId="9" hidden="1"/>
    <cellStyle name="Followed Hyperlink" xfId="2230" builtinId="9" hidden="1"/>
    <cellStyle name="Followed Hyperlink" xfId="2231" builtinId="9" hidden="1"/>
    <cellStyle name="Followed Hyperlink" xfId="2232" builtinId="9" hidden="1"/>
    <cellStyle name="Followed Hyperlink" xfId="2233" builtinId="9" hidden="1"/>
    <cellStyle name="Followed Hyperlink" xfId="2234" builtinId="9" hidden="1"/>
    <cellStyle name="Followed Hyperlink" xfId="2235" builtinId="9" hidden="1"/>
    <cellStyle name="Followed Hyperlink" xfId="2236" builtinId="9" hidden="1"/>
    <cellStyle name="Followed Hyperlink" xfId="2237" builtinId="9" hidden="1"/>
    <cellStyle name="Followed Hyperlink" xfId="2238" builtinId="9" hidden="1"/>
    <cellStyle name="Followed Hyperlink" xfId="2239" builtinId="9" hidden="1"/>
    <cellStyle name="Followed Hyperlink" xfId="2240" builtinId="9" hidden="1"/>
    <cellStyle name="Followed Hyperlink" xfId="2241" builtinId="9" hidden="1"/>
    <cellStyle name="Followed Hyperlink" xfId="2242" builtinId="9" hidden="1"/>
    <cellStyle name="Followed Hyperlink" xfId="2243" builtinId="9" hidden="1"/>
    <cellStyle name="Followed Hyperlink" xfId="2244" builtinId="9" hidden="1"/>
    <cellStyle name="Followed Hyperlink" xfId="2245" builtinId="9" hidden="1"/>
    <cellStyle name="Followed Hyperlink" xfId="2246" builtinId="9" hidden="1"/>
    <cellStyle name="Followed Hyperlink" xfId="2247" builtinId="9" hidden="1"/>
    <cellStyle name="Followed Hyperlink" xfId="2248" builtinId="9" hidden="1"/>
    <cellStyle name="Followed Hyperlink" xfId="2249" builtinId="9" hidden="1"/>
    <cellStyle name="Followed Hyperlink" xfId="2250" builtinId="9" hidden="1"/>
    <cellStyle name="Followed Hyperlink" xfId="2251" builtinId="9" hidden="1"/>
    <cellStyle name="Followed Hyperlink" xfId="2252" builtinId="9" hidden="1"/>
    <cellStyle name="Followed Hyperlink" xfId="2253" builtinId="9" hidden="1"/>
    <cellStyle name="Followed Hyperlink" xfId="2254" builtinId="9" hidden="1"/>
    <cellStyle name="Followed Hyperlink" xfId="2255" builtinId="9" hidden="1"/>
    <cellStyle name="Followed Hyperlink" xfId="2256" builtinId="9" hidden="1"/>
    <cellStyle name="Followed Hyperlink" xfId="2257" builtinId="9" hidden="1"/>
    <cellStyle name="Followed Hyperlink" xfId="2258" builtinId="9" hidden="1"/>
    <cellStyle name="Followed Hyperlink" xfId="2259" builtinId="9" hidden="1"/>
    <cellStyle name="Followed Hyperlink" xfId="2260" builtinId="9" hidden="1"/>
    <cellStyle name="Followed Hyperlink" xfId="2261" builtinId="9" hidden="1"/>
    <cellStyle name="Followed Hyperlink" xfId="2262" builtinId="9" hidden="1"/>
    <cellStyle name="Followed Hyperlink" xfId="2263" builtinId="9" hidden="1"/>
    <cellStyle name="Followed Hyperlink" xfId="2264" builtinId="9" hidden="1"/>
    <cellStyle name="Followed Hyperlink" xfId="2265" builtinId="9" hidden="1"/>
    <cellStyle name="Followed Hyperlink" xfId="2266" builtinId="9" hidden="1"/>
    <cellStyle name="Followed Hyperlink" xfId="2267" builtinId="9" hidden="1"/>
    <cellStyle name="Followed Hyperlink" xfId="2268" builtinId="9" hidden="1"/>
    <cellStyle name="Followed Hyperlink" xfId="2269" builtinId="9" hidden="1"/>
    <cellStyle name="Followed Hyperlink" xfId="2270" builtinId="9" hidden="1"/>
    <cellStyle name="Followed Hyperlink" xfId="2271" builtinId="9" hidden="1"/>
    <cellStyle name="Followed Hyperlink" xfId="2272" builtinId="9" hidden="1"/>
    <cellStyle name="Followed Hyperlink" xfId="2273" builtinId="9" hidden="1"/>
    <cellStyle name="Followed Hyperlink" xfId="2274" builtinId="9" hidden="1"/>
    <cellStyle name="Followed Hyperlink" xfId="2275" builtinId="9" hidden="1"/>
    <cellStyle name="Followed Hyperlink" xfId="2276" builtinId="9" hidden="1"/>
    <cellStyle name="Followed Hyperlink" xfId="2277" builtinId="9" hidden="1"/>
    <cellStyle name="Followed Hyperlink" xfId="2278" builtinId="9" hidden="1"/>
    <cellStyle name="Followed Hyperlink" xfId="2279" builtinId="9" hidden="1"/>
    <cellStyle name="Followed Hyperlink" xfId="2280" builtinId="9" hidden="1"/>
    <cellStyle name="Followed Hyperlink" xfId="2281" builtinId="9" hidden="1"/>
    <cellStyle name="Followed Hyperlink" xfId="2282" builtinId="9" hidden="1"/>
    <cellStyle name="Followed Hyperlink" xfId="2283" builtinId="9" hidden="1"/>
    <cellStyle name="Followed Hyperlink" xfId="2284" builtinId="9" hidden="1"/>
    <cellStyle name="Followed Hyperlink" xfId="2285" builtinId="9" hidden="1"/>
    <cellStyle name="Followed Hyperlink" xfId="2286" builtinId="9" hidden="1"/>
    <cellStyle name="Followed Hyperlink" xfId="2287" builtinId="9" hidden="1"/>
    <cellStyle name="Followed Hyperlink" xfId="2288" builtinId="9" hidden="1"/>
    <cellStyle name="Followed Hyperlink" xfId="2289" builtinId="9" hidden="1"/>
    <cellStyle name="Followed Hyperlink" xfId="2290" builtinId="9" hidden="1"/>
    <cellStyle name="Followed Hyperlink" xfId="2291" builtinId="9" hidden="1"/>
    <cellStyle name="Followed Hyperlink" xfId="2292" builtinId="9" hidden="1"/>
    <cellStyle name="Followed Hyperlink" xfId="2293" builtinId="9" hidden="1"/>
    <cellStyle name="Followed Hyperlink" xfId="2294" builtinId="9" hidden="1"/>
    <cellStyle name="Followed Hyperlink" xfId="2295" builtinId="9" hidden="1"/>
    <cellStyle name="Followed Hyperlink" xfId="2296" builtinId="9" hidden="1"/>
    <cellStyle name="Followed Hyperlink" xfId="2297" builtinId="9" hidden="1"/>
    <cellStyle name="Followed Hyperlink" xfId="2298" builtinId="9" hidden="1"/>
    <cellStyle name="Followed Hyperlink" xfId="2299" builtinId="9" hidden="1"/>
    <cellStyle name="Followed Hyperlink" xfId="2300" builtinId="9" hidden="1"/>
    <cellStyle name="Followed Hyperlink" xfId="2301" builtinId="9" hidden="1"/>
    <cellStyle name="Followed Hyperlink" xfId="2302" builtinId="9" hidden="1"/>
    <cellStyle name="Followed Hyperlink" xfId="2303" builtinId="9" hidden="1"/>
    <cellStyle name="Followed Hyperlink" xfId="2304" builtinId="9" hidden="1"/>
    <cellStyle name="Followed Hyperlink" xfId="2305" builtinId="9" hidden="1"/>
    <cellStyle name="Followed Hyperlink" xfId="2306" builtinId="9" hidden="1"/>
    <cellStyle name="Followed Hyperlink" xfId="2307" builtinId="9" hidden="1"/>
    <cellStyle name="Followed Hyperlink" xfId="2308" builtinId="9" hidden="1"/>
    <cellStyle name="Followed Hyperlink" xfId="2309" builtinId="9" hidden="1"/>
    <cellStyle name="Followed Hyperlink" xfId="2310" builtinId="9" hidden="1"/>
    <cellStyle name="Followed Hyperlink" xfId="2311" builtinId="9" hidden="1"/>
    <cellStyle name="Followed Hyperlink" xfId="2312" builtinId="9" hidden="1"/>
    <cellStyle name="Followed Hyperlink" xfId="2313" builtinId="9" hidden="1"/>
    <cellStyle name="Followed Hyperlink" xfId="2314" builtinId="9" hidden="1"/>
    <cellStyle name="Followed Hyperlink" xfId="2315" builtinId="9" hidden="1"/>
    <cellStyle name="Followed Hyperlink" xfId="2316" builtinId="9" hidden="1"/>
    <cellStyle name="Followed Hyperlink" xfId="2317" builtinId="9" hidden="1"/>
    <cellStyle name="Followed Hyperlink" xfId="2318" builtinId="9" hidden="1"/>
    <cellStyle name="Followed Hyperlink" xfId="2319" builtinId="9" hidden="1"/>
    <cellStyle name="Followed Hyperlink" xfId="2320" builtinId="9" hidden="1"/>
    <cellStyle name="Followed Hyperlink" xfId="2321" builtinId="9" hidden="1"/>
    <cellStyle name="Followed Hyperlink" xfId="2322" builtinId="9" hidden="1"/>
    <cellStyle name="Followed Hyperlink" xfId="2323" builtinId="9" hidden="1"/>
    <cellStyle name="Followed Hyperlink" xfId="2324" builtinId="9" hidden="1"/>
    <cellStyle name="Followed Hyperlink" xfId="2325" builtinId="9" hidden="1"/>
    <cellStyle name="Followed Hyperlink" xfId="2326" builtinId="9" hidden="1"/>
    <cellStyle name="Followed Hyperlink" xfId="2327" builtinId="9" hidden="1"/>
    <cellStyle name="Followed Hyperlink" xfId="2328" builtinId="9" hidden="1"/>
    <cellStyle name="Followed Hyperlink" xfId="2329" builtinId="9" hidden="1"/>
    <cellStyle name="Followed Hyperlink" xfId="2330" builtinId="9" hidden="1"/>
    <cellStyle name="Followed Hyperlink" xfId="2331" builtinId="9" hidden="1"/>
    <cellStyle name="Followed Hyperlink" xfId="2332" builtinId="9" hidden="1"/>
    <cellStyle name="Followed Hyperlink" xfId="2333" builtinId="9" hidden="1"/>
    <cellStyle name="Followed Hyperlink" xfId="2334" builtinId="9" hidden="1"/>
    <cellStyle name="Followed Hyperlink" xfId="2335" builtinId="9" hidden="1"/>
    <cellStyle name="Followed Hyperlink" xfId="2336" builtinId="9" hidden="1"/>
    <cellStyle name="Followed Hyperlink" xfId="2337" builtinId="9" hidden="1"/>
    <cellStyle name="Followed Hyperlink" xfId="2338" builtinId="9" hidden="1"/>
    <cellStyle name="Followed Hyperlink" xfId="2339" builtinId="9" hidden="1"/>
    <cellStyle name="Followed Hyperlink" xfId="2340" builtinId="9" hidden="1"/>
    <cellStyle name="Followed Hyperlink" xfId="2341" builtinId="9" hidden="1"/>
    <cellStyle name="Followed Hyperlink" xfId="2342" builtinId="9" hidden="1"/>
    <cellStyle name="Followed Hyperlink" xfId="2343" builtinId="9" hidden="1"/>
    <cellStyle name="Followed Hyperlink" xfId="2344" builtinId="9" hidden="1"/>
    <cellStyle name="Followed Hyperlink" xfId="2345" builtinId="9" hidden="1"/>
    <cellStyle name="Followed Hyperlink" xfId="2346" builtinId="9" hidden="1"/>
    <cellStyle name="Followed Hyperlink" xfId="2347" builtinId="9" hidden="1"/>
    <cellStyle name="Followed Hyperlink" xfId="2348" builtinId="9" hidden="1"/>
    <cellStyle name="Followed Hyperlink" xfId="2349" builtinId="9" hidden="1"/>
    <cellStyle name="Followed Hyperlink" xfId="2350" builtinId="9" hidden="1"/>
    <cellStyle name="Followed Hyperlink" xfId="2351" builtinId="9" hidden="1"/>
    <cellStyle name="Followed Hyperlink" xfId="2352" builtinId="9" hidden="1"/>
    <cellStyle name="Followed Hyperlink" xfId="2353" builtinId="9" hidden="1"/>
    <cellStyle name="Followed Hyperlink" xfId="2354" builtinId="9" hidden="1"/>
    <cellStyle name="Followed Hyperlink" xfId="2355" builtinId="9" hidden="1"/>
    <cellStyle name="Followed Hyperlink" xfId="2356" builtinId="9" hidden="1"/>
    <cellStyle name="Followed Hyperlink" xfId="2357" builtinId="9" hidden="1"/>
    <cellStyle name="Followed Hyperlink" xfId="2358" builtinId="9" hidden="1"/>
    <cellStyle name="Followed Hyperlink" xfId="2359" builtinId="9" hidden="1"/>
    <cellStyle name="Followed Hyperlink" xfId="2360" builtinId="9" hidden="1"/>
    <cellStyle name="Followed Hyperlink" xfId="2361" builtinId="9" hidden="1"/>
    <cellStyle name="Followed Hyperlink" xfId="2362" builtinId="9" hidden="1"/>
    <cellStyle name="Followed Hyperlink" xfId="2363" builtinId="9" hidden="1"/>
    <cellStyle name="Followed Hyperlink" xfId="2364" builtinId="9" hidden="1"/>
    <cellStyle name="Followed Hyperlink" xfId="2365" builtinId="9" hidden="1"/>
    <cellStyle name="Followed Hyperlink" xfId="2366" builtinId="9" hidden="1"/>
    <cellStyle name="Followed Hyperlink" xfId="2367" builtinId="9" hidden="1"/>
    <cellStyle name="Followed Hyperlink" xfId="2368" builtinId="9" hidden="1"/>
    <cellStyle name="Followed Hyperlink" xfId="2369" builtinId="9" hidden="1"/>
    <cellStyle name="Followed Hyperlink" xfId="2370" builtinId="9" hidden="1"/>
    <cellStyle name="Followed Hyperlink" xfId="2371" builtinId="9" hidden="1"/>
    <cellStyle name="Followed Hyperlink" xfId="2372" builtinId="9" hidden="1"/>
    <cellStyle name="Followed Hyperlink" xfId="2373" builtinId="9" hidden="1"/>
    <cellStyle name="Followed Hyperlink" xfId="2374" builtinId="9" hidden="1"/>
    <cellStyle name="Followed Hyperlink" xfId="2375" builtinId="9" hidden="1"/>
    <cellStyle name="Followed Hyperlink" xfId="2376" builtinId="9" hidden="1"/>
    <cellStyle name="Followed Hyperlink" xfId="2377" builtinId="9" hidden="1"/>
    <cellStyle name="Followed Hyperlink" xfId="2378" builtinId="9" hidden="1"/>
    <cellStyle name="Followed Hyperlink" xfId="2379" builtinId="9" hidden="1"/>
    <cellStyle name="Followed Hyperlink" xfId="2380" builtinId="9" hidden="1"/>
    <cellStyle name="Followed Hyperlink" xfId="2381" builtinId="9" hidden="1"/>
    <cellStyle name="Followed Hyperlink" xfId="2382" builtinId="9" hidden="1"/>
    <cellStyle name="Followed Hyperlink" xfId="2383" builtinId="9" hidden="1"/>
    <cellStyle name="Followed Hyperlink" xfId="2384" builtinId="9" hidden="1"/>
    <cellStyle name="Followed Hyperlink" xfId="2385" builtinId="9" hidden="1"/>
    <cellStyle name="Followed Hyperlink" xfId="2386" builtinId="9" hidden="1"/>
    <cellStyle name="Followed Hyperlink" xfId="2387" builtinId="9" hidden="1"/>
    <cellStyle name="Followed Hyperlink" xfId="2388" builtinId="9" hidden="1"/>
    <cellStyle name="Followed Hyperlink" xfId="2389" builtinId="9" hidden="1"/>
    <cellStyle name="Followed Hyperlink" xfId="2390" builtinId="9" hidden="1"/>
    <cellStyle name="Followed Hyperlink" xfId="2391" builtinId="9" hidden="1"/>
    <cellStyle name="Followed Hyperlink" xfId="2392" builtinId="9" hidden="1"/>
    <cellStyle name="Followed Hyperlink" xfId="2393" builtinId="9" hidden="1"/>
    <cellStyle name="Followed Hyperlink" xfId="2394" builtinId="9" hidden="1"/>
    <cellStyle name="Followed Hyperlink" xfId="2395" builtinId="9" hidden="1"/>
    <cellStyle name="Followed Hyperlink" xfId="2396" builtinId="9" hidden="1"/>
    <cellStyle name="Followed Hyperlink" xfId="2397" builtinId="9" hidden="1"/>
    <cellStyle name="Followed Hyperlink" xfId="2398" builtinId="9" hidden="1"/>
    <cellStyle name="Followed Hyperlink" xfId="2399" builtinId="9" hidden="1"/>
    <cellStyle name="Followed Hyperlink" xfId="2400" builtinId="9" hidden="1"/>
    <cellStyle name="Followed Hyperlink" xfId="2401" builtinId="9" hidden="1"/>
    <cellStyle name="Followed Hyperlink" xfId="2402" builtinId="9" hidden="1"/>
    <cellStyle name="Followed Hyperlink" xfId="2403" builtinId="9" hidden="1"/>
    <cellStyle name="Followed Hyperlink" xfId="2404" builtinId="9" hidden="1"/>
    <cellStyle name="Followed Hyperlink" xfId="2405" builtinId="9" hidden="1"/>
    <cellStyle name="Followed Hyperlink" xfId="2406" builtinId="9" hidden="1"/>
    <cellStyle name="Followed Hyperlink" xfId="2407" builtinId="9" hidden="1"/>
    <cellStyle name="Followed Hyperlink" xfId="2408" builtinId="9" hidden="1"/>
    <cellStyle name="Followed Hyperlink" xfId="2409" builtinId="9" hidden="1"/>
    <cellStyle name="Followed Hyperlink" xfId="2410" builtinId="9" hidden="1"/>
    <cellStyle name="Followed Hyperlink" xfId="2411" builtinId="9" hidden="1"/>
    <cellStyle name="Followed Hyperlink" xfId="2412" builtinId="9" hidden="1"/>
    <cellStyle name="Followed Hyperlink" xfId="2413" builtinId="9" hidden="1"/>
    <cellStyle name="Followed Hyperlink" xfId="2414" builtinId="9" hidden="1"/>
    <cellStyle name="Followed Hyperlink" xfId="2415" builtinId="9" hidden="1"/>
    <cellStyle name="Followed Hyperlink" xfId="2416" builtinId="9" hidden="1"/>
    <cellStyle name="Followed Hyperlink" xfId="2417" builtinId="9" hidden="1"/>
    <cellStyle name="Followed Hyperlink" xfId="2418" builtinId="9" hidden="1"/>
    <cellStyle name="Followed Hyperlink" xfId="2419" builtinId="9" hidden="1"/>
    <cellStyle name="Followed Hyperlink" xfId="2420" builtinId="9" hidden="1"/>
    <cellStyle name="Followed Hyperlink" xfId="2421" builtinId="9" hidden="1"/>
    <cellStyle name="Followed Hyperlink" xfId="2422" builtinId="9" hidden="1"/>
    <cellStyle name="Followed Hyperlink" xfId="2423" builtinId="9" hidden="1"/>
    <cellStyle name="Followed Hyperlink" xfId="2424" builtinId="9" hidden="1"/>
    <cellStyle name="Followed Hyperlink" xfId="2425" builtinId="9" hidden="1"/>
    <cellStyle name="Followed Hyperlink" xfId="2426" builtinId="9" hidden="1"/>
    <cellStyle name="Followed Hyperlink" xfId="2427" builtinId="9" hidden="1"/>
    <cellStyle name="Followed Hyperlink" xfId="2428" builtinId="9" hidden="1"/>
    <cellStyle name="Followed Hyperlink" xfId="2429" builtinId="9" hidden="1"/>
    <cellStyle name="Followed Hyperlink" xfId="2430" builtinId="9" hidden="1"/>
    <cellStyle name="Followed Hyperlink" xfId="2431" builtinId="9" hidden="1"/>
    <cellStyle name="Followed Hyperlink" xfId="2432" builtinId="9" hidden="1"/>
    <cellStyle name="Followed Hyperlink" xfId="2433" builtinId="9" hidden="1"/>
    <cellStyle name="Followed Hyperlink" xfId="2434" builtinId="9" hidden="1"/>
    <cellStyle name="Followed Hyperlink" xfId="2435" builtinId="9" hidden="1"/>
    <cellStyle name="Followed Hyperlink" xfId="2436" builtinId="9" hidden="1"/>
    <cellStyle name="Followed Hyperlink" xfId="2437" builtinId="9" hidden="1"/>
    <cellStyle name="Followed Hyperlink" xfId="2438" builtinId="9" hidden="1"/>
    <cellStyle name="Followed Hyperlink" xfId="2439" builtinId="9" hidden="1"/>
    <cellStyle name="Followed Hyperlink" xfId="2440" builtinId="9" hidden="1"/>
    <cellStyle name="Followed Hyperlink" xfId="2441" builtinId="9" hidden="1"/>
    <cellStyle name="Followed Hyperlink" xfId="2442" builtinId="9" hidden="1"/>
    <cellStyle name="Followed Hyperlink" xfId="2443" builtinId="9" hidden="1"/>
    <cellStyle name="Followed Hyperlink" xfId="2444" builtinId="9" hidden="1"/>
    <cellStyle name="Followed Hyperlink" xfId="2445" builtinId="9" hidden="1"/>
    <cellStyle name="Followed Hyperlink" xfId="2446" builtinId="9" hidden="1"/>
    <cellStyle name="Followed Hyperlink" xfId="2447" builtinId="9" hidden="1"/>
    <cellStyle name="Followed Hyperlink" xfId="2448" builtinId="9" hidden="1"/>
    <cellStyle name="Followed Hyperlink" xfId="2449" builtinId="9" hidden="1"/>
    <cellStyle name="Followed Hyperlink" xfId="2450" builtinId="9" hidden="1"/>
    <cellStyle name="Followed Hyperlink" xfId="2451" builtinId="9" hidden="1"/>
    <cellStyle name="Followed Hyperlink" xfId="2452" builtinId="9" hidden="1"/>
    <cellStyle name="Followed Hyperlink" xfId="2453" builtinId="9" hidden="1"/>
    <cellStyle name="Followed Hyperlink" xfId="2454" builtinId="9" hidden="1"/>
    <cellStyle name="Followed Hyperlink" xfId="2455" builtinId="9" hidden="1"/>
    <cellStyle name="Followed Hyperlink" xfId="2456" builtinId="9" hidden="1"/>
    <cellStyle name="Followed Hyperlink" xfId="2457" builtinId="9" hidden="1"/>
    <cellStyle name="Followed Hyperlink" xfId="2458" builtinId="9" hidden="1"/>
    <cellStyle name="Followed Hyperlink" xfId="2459" builtinId="9" hidden="1"/>
    <cellStyle name="Followed Hyperlink" xfId="2460" builtinId="9" hidden="1"/>
    <cellStyle name="Followed Hyperlink" xfId="2461" builtinId="9" hidden="1"/>
    <cellStyle name="Followed Hyperlink" xfId="2462" builtinId="9" hidden="1"/>
    <cellStyle name="Followed Hyperlink" xfId="2463" builtinId="9" hidden="1"/>
    <cellStyle name="Followed Hyperlink" xfId="2464" builtinId="9" hidden="1"/>
    <cellStyle name="Followed Hyperlink" xfId="2465" builtinId="9" hidden="1"/>
    <cellStyle name="Followed Hyperlink" xfId="2466" builtinId="9" hidden="1"/>
    <cellStyle name="Followed Hyperlink" xfId="2467" builtinId="9" hidden="1"/>
    <cellStyle name="Followed Hyperlink" xfId="2468" builtinId="9" hidden="1"/>
    <cellStyle name="Followed Hyperlink" xfId="2469" builtinId="9" hidden="1"/>
    <cellStyle name="Followed Hyperlink" xfId="2470" builtinId="9" hidden="1"/>
    <cellStyle name="Followed Hyperlink" xfId="2471" builtinId="9" hidden="1"/>
    <cellStyle name="Followed Hyperlink" xfId="2472" builtinId="9" hidden="1"/>
    <cellStyle name="Followed Hyperlink" xfId="2473" builtinId="9" hidden="1"/>
    <cellStyle name="Followed Hyperlink" xfId="2474" builtinId="9" hidden="1"/>
    <cellStyle name="Followed Hyperlink" xfId="2475" builtinId="9" hidden="1"/>
    <cellStyle name="Followed Hyperlink" xfId="2476" builtinId="9" hidden="1"/>
    <cellStyle name="Followed Hyperlink" xfId="2477" builtinId="9" hidden="1"/>
    <cellStyle name="Followed Hyperlink" xfId="2478" builtinId="9" hidden="1"/>
    <cellStyle name="Followed Hyperlink" xfId="2479" builtinId="9" hidden="1"/>
    <cellStyle name="Followed Hyperlink" xfId="2480" builtinId="9" hidden="1"/>
    <cellStyle name="Followed Hyperlink" xfId="2481" builtinId="9" hidden="1"/>
    <cellStyle name="Followed Hyperlink" xfId="2482" builtinId="9" hidden="1"/>
    <cellStyle name="Followed Hyperlink" xfId="2483" builtinId="9" hidden="1"/>
    <cellStyle name="Followed Hyperlink" xfId="2484" builtinId="9" hidden="1"/>
    <cellStyle name="Followed Hyperlink" xfId="2485" builtinId="9" hidden="1"/>
    <cellStyle name="Followed Hyperlink" xfId="2486" builtinId="9" hidden="1"/>
    <cellStyle name="Followed Hyperlink" xfId="2487" builtinId="9" hidden="1"/>
    <cellStyle name="Followed Hyperlink" xfId="2488" builtinId="9" hidden="1"/>
    <cellStyle name="Followed Hyperlink" xfId="2489" builtinId="9" hidden="1"/>
    <cellStyle name="Followed Hyperlink" xfId="2490" builtinId="9" hidden="1"/>
    <cellStyle name="Followed Hyperlink" xfId="2491" builtinId="9" hidden="1"/>
    <cellStyle name="Followed Hyperlink" xfId="2492" builtinId="9" hidden="1"/>
    <cellStyle name="Followed Hyperlink" xfId="2493" builtinId="9" hidden="1"/>
    <cellStyle name="Followed Hyperlink" xfId="2494" builtinId="9" hidden="1"/>
    <cellStyle name="Followed Hyperlink" xfId="2495" builtinId="9" hidden="1"/>
    <cellStyle name="Followed Hyperlink" xfId="2496" builtinId="9" hidden="1"/>
    <cellStyle name="Followed Hyperlink" xfId="2497" builtinId="9" hidden="1"/>
    <cellStyle name="Followed Hyperlink" xfId="2498" builtinId="9" hidden="1"/>
    <cellStyle name="Followed Hyperlink" xfId="2499" builtinId="9" hidden="1"/>
    <cellStyle name="Followed Hyperlink" xfId="2500" builtinId="9" hidden="1"/>
    <cellStyle name="Followed Hyperlink" xfId="2501" builtinId="9" hidden="1"/>
    <cellStyle name="Followed Hyperlink" xfId="2502" builtinId="9" hidden="1"/>
    <cellStyle name="Followed Hyperlink" xfId="2503" builtinId="9" hidden="1"/>
    <cellStyle name="Followed Hyperlink" xfId="2504" builtinId="9" hidden="1"/>
    <cellStyle name="Followed Hyperlink" xfId="2505" builtinId="9" hidden="1"/>
    <cellStyle name="Followed Hyperlink" xfId="2506" builtinId="9" hidden="1"/>
    <cellStyle name="Followed Hyperlink" xfId="2507" builtinId="9" hidden="1"/>
    <cellStyle name="Followed Hyperlink" xfId="2508" builtinId="9" hidden="1"/>
    <cellStyle name="Followed Hyperlink" xfId="2509" builtinId="9" hidden="1"/>
    <cellStyle name="Followed Hyperlink" xfId="2510" builtinId="9" hidden="1"/>
    <cellStyle name="Followed Hyperlink" xfId="2511" builtinId="9" hidden="1"/>
    <cellStyle name="Followed Hyperlink" xfId="2512" builtinId="9" hidden="1"/>
    <cellStyle name="Followed Hyperlink" xfId="2513" builtinId="9" hidden="1"/>
    <cellStyle name="Followed Hyperlink" xfId="2514" builtinId="9" hidden="1"/>
    <cellStyle name="Followed Hyperlink" xfId="2515" builtinId="9" hidden="1"/>
    <cellStyle name="Followed Hyperlink" xfId="2516" builtinId="9" hidden="1"/>
    <cellStyle name="Followed Hyperlink" xfId="2517" builtinId="9" hidden="1"/>
    <cellStyle name="Followed Hyperlink" xfId="2518" builtinId="9" hidden="1"/>
    <cellStyle name="Followed Hyperlink" xfId="2519" builtinId="9" hidden="1"/>
    <cellStyle name="Followed Hyperlink" xfId="2520" builtinId="9" hidden="1"/>
    <cellStyle name="Followed Hyperlink" xfId="2521" builtinId="9" hidden="1"/>
    <cellStyle name="Followed Hyperlink" xfId="2522" builtinId="9" hidden="1"/>
    <cellStyle name="Followed Hyperlink" xfId="2523" builtinId="9" hidden="1"/>
    <cellStyle name="Followed Hyperlink" xfId="2524" builtinId="9" hidden="1"/>
    <cellStyle name="Followed Hyperlink" xfId="2525" builtinId="9" hidden="1"/>
    <cellStyle name="Followed Hyperlink" xfId="2526" builtinId="9" hidden="1"/>
    <cellStyle name="Followed Hyperlink" xfId="2527" builtinId="9" hidden="1"/>
    <cellStyle name="Followed Hyperlink" xfId="2528" builtinId="9" hidden="1"/>
    <cellStyle name="Followed Hyperlink" xfId="2529" builtinId="9" hidden="1"/>
    <cellStyle name="Followed Hyperlink" xfId="2530" builtinId="9" hidden="1"/>
    <cellStyle name="Followed Hyperlink" xfId="2531" builtinId="9" hidden="1"/>
    <cellStyle name="Followed Hyperlink" xfId="2532" builtinId="9" hidden="1"/>
    <cellStyle name="Followed Hyperlink" xfId="2533" builtinId="9" hidden="1"/>
    <cellStyle name="Followed Hyperlink" xfId="2534" builtinId="9" hidden="1"/>
    <cellStyle name="Followed Hyperlink" xfId="2535" builtinId="9" hidden="1"/>
    <cellStyle name="Followed Hyperlink" xfId="2536" builtinId="9" hidden="1"/>
    <cellStyle name="Followed Hyperlink" xfId="2537" builtinId="9" hidden="1"/>
    <cellStyle name="Followed Hyperlink" xfId="2538" builtinId="9" hidden="1"/>
    <cellStyle name="Followed Hyperlink" xfId="2539" builtinId="9" hidden="1"/>
    <cellStyle name="Followed Hyperlink" xfId="2540" builtinId="9" hidden="1"/>
    <cellStyle name="Followed Hyperlink" xfId="2541" builtinId="9" hidden="1"/>
    <cellStyle name="Followed Hyperlink" xfId="2542" builtinId="9" hidden="1"/>
    <cellStyle name="Followed Hyperlink" xfId="2543" builtinId="9" hidden="1"/>
    <cellStyle name="Followed Hyperlink" xfId="2544" builtinId="9" hidden="1"/>
    <cellStyle name="Followed Hyperlink" xfId="2545" builtinId="9" hidden="1"/>
    <cellStyle name="Followed Hyperlink" xfId="2546" builtinId="9" hidden="1"/>
    <cellStyle name="Followed Hyperlink" xfId="2547" builtinId="9" hidden="1"/>
    <cellStyle name="Followed Hyperlink" xfId="2548" builtinId="9" hidden="1"/>
    <cellStyle name="Followed Hyperlink" xfId="2549" builtinId="9" hidden="1"/>
    <cellStyle name="Followed Hyperlink" xfId="2550" builtinId="9" hidden="1"/>
    <cellStyle name="Followed Hyperlink" xfId="2551" builtinId="9" hidden="1"/>
    <cellStyle name="Followed Hyperlink" xfId="2552" builtinId="9" hidden="1"/>
    <cellStyle name="Followed Hyperlink" xfId="2553" builtinId="9" hidden="1"/>
    <cellStyle name="Followed Hyperlink" xfId="2554" builtinId="9" hidden="1"/>
    <cellStyle name="Followed Hyperlink" xfId="2555" builtinId="9" hidden="1"/>
    <cellStyle name="Followed Hyperlink" xfId="2556" builtinId="9" hidden="1"/>
    <cellStyle name="Followed Hyperlink" xfId="2557" builtinId="9" hidden="1"/>
    <cellStyle name="Followed Hyperlink" xfId="2558" builtinId="9" hidden="1"/>
    <cellStyle name="Followed Hyperlink" xfId="2559" builtinId="9" hidden="1"/>
    <cellStyle name="Followed Hyperlink" xfId="2560" builtinId="9" hidden="1"/>
    <cellStyle name="Followed Hyperlink" xfId="2561" builtinId="9" hidden="1"/>
    <cellStyle name="Followed Hyperlink" xfId="2562" builtinId="9" hidden="1"/>
    <cellStyle name="Followed Hyperlink" xfId="2563" builtinId="9" hidden="1"/>
    <cellStyle name="Followed Hyperlink" xfId="2564" builtinId="9" hidden="1"/>
    <cellStyle name="Followed Hyperlink" xfId="2565" builtinId="9" hidden="1"/>
    <cellStyle name="Followed Hyperlink" xfId="2566" builtinId="9" hidden="1"/>
    <cellStyle name="Followed Hyperlink" xfId="2567" builtinId="9" hidden="1"/>
    <cellStyle name="Followed Hyperlink" xfId="2568" builtinId="9" hidden="1"/>
    <cellStyle name="Followed Hyperlink" xfId="2569" builtinId="9" hidden="1"/>
    <cellStyle name="Followed Hyperlink" xfId="2570" builtinId="9" hidden="1"/>
    <cellStyle name="Followed Hyperlink" xfId="2571" builtinId="9" hidden="1"/>
    <cellStyle name="Followed Hyperlink" xfId="2572" builtinId="9" hidden="1"/>
    <cellStyle name="Followed Hyperlink" xfId="2573" builtinId="9" hidden="1"/>
    <cellStyle name="Followed Hyperlink" xfId="2574" builtinId="9" hidden="1"/>
    <cellStyle name="Followed Hyperlink" xfId="2575" builtinId="9" hidden="1"/>
    <cellStyle name="Followed Hyperlink" xfId="2576" builtinId="9" hidden="1"/>
    <cellStyle name="Followed Hyperlink" xfId="2577" builtinId="9" hidden="1"/>
    <cellStyle name="Followed Hyperlink" xfId="2578" builtinId="9" hidden="1"/>
    <cellStyle name="Followed Hyperlink" xfId="2579" builtinId="9" hidden="1"/>
    <cellStyle name="Followed Hyperlink" xfId="2580" builtinId="9" hidden="1"/>
    <cellStyle name="Followed Hyperlink" xfId="2581" builtinId="9" hidden="1"/>
    <cellStyle name="Followed Hyperlink" xfId="2582" builtinId="9" hidden="1"/>
    <cellStyle name="Followed Hyperlink" xfId="2583" builtinId="9" hidden="1"/>
    <cellStyle name="Followed Hyperlink" xfId="2584" builtinId="9" hidden="1"/>
    <cellStyle name="Followed Hyperlink" xfId="2585" builtinId="9" hidden="1"/>
    <cellStyle name="Followed Hyperlink" xfId="2586" builtinId="9" hidden="1"/>
    <cellStyle name="Followed Hyperlink" xfId="2587" builtinId="9" hidden="1"/>
    <cellStyle name="Followed Hyperlink" xfId="2588" builtinId="9" hidden="1"/>
    <cellStyle name="Followed Hyperlink" xfId="2589" builtinId="9" hidden="1"/>
    <cellStyle name="Followed Hyperlink" xfId="2590" builtinId="9" hidden="1"/>
    <cellStyle name="Followed Hyperlink" xfId="2591" builtinId="9" hidden="1"/>
    <cellStyle name="Followed Hyperlink" xfId="2592" builtinId="9" hidden="1"/>
    <cellStyle name="Followed Hyperlink" xfId="2593" builtinId="9" hidden="1"/>
    <cellStyle name="Followed Hyperlink" xfId="2594" builtinId="9" hidden="1"/>
    <cellStyle name="Followed Hyperlink" xfId="2595" builtinId="9" hidden="1"/>
    <cellStyle name="Followed Hyperlink" xfId="2596" builtinId="9" hidden="1"/>
    <cellStyle name="Followed Hyperlink" xfId="2597" builtinId="9" hidden="1"/>
    <cellStyle name="Followed Hyperlink" xfId="2598" builtinId="9" hidden="1"/>
    <cellStyle name="Followed Hyperlink" xfId="2599" builtinId="9" hidden="1"/>
    <cellStyle name="Followed Hyperlink" xfId="2600" builtinId="9" hidden="1"/>
    <cellStyle name="Followed Hyperlink" xfId="2601" builtinId="9" hidden="1"/>
    <cellStyle name="Followed Hyperlink" xfId="2602" builtinId="9" hidden="1"/>
    <cellStyle name="Followed Hyperlink" xfId="2603" builtinId="9" hidden="1"/>
    <cellStyle name="Followed Hyperlink" xfId="2604" builtinId="9" hidden="1"/>
    <cellStyle name="Followed Hyperlink" xfId="2605" builtinId="9" hidden="1"/>
    <cellStyle name="Followed Hyperlink" xfId="2606" builtinId="9" hidden="1"/>
    <cellStyle name="Followed Hyperlink" xfId="2607" builtinId="9" hidden="1"/>
    <cellStyle name="Followed Hyperlink" xfId="2608" builtinId="9" hidden="1"/>
    <cellStyle name="Followed Hyperlink" xfId="2609" builtinId="9" hidden="1"/>
    <cellStyle name="Followed Hyperlink" xfId="2610" builtinId="9" hidden="1"/>
    <cellStyle name="Followed Hyperlink" xfId="2611" builtinId="9" hidden="1"/>
    <cellStyle name="Followed Hyperlink" xfId="2612" builtinId="9" hidden="1"/>
    <cellStyle name="Followed Hyperlink" xfId="2613" builtinId="9" hidden="1"/>
    <cellStyle name="Followed Hyperlink" xfId="2614" builtinId="9" hidden="1"/>
    <cellStyle name="Followed Hyperlink" xfId="2615" builtinId="9" hidden="1"/>
    <cellStyle name="Followed Hyperlink" xfId="2616" builtinId="9" hidden="1"/>
    <cellStyle name="Followed Hyperlink" xfId="2617" builtinId="9" hidden="1"/>
    <cellStyle name="Followed Hyperlink" xfId="2618" builtinId="9" hidden="1"/>
    <cellStyle name="Followed Hyperlink" xfId="2619" builtinId="9" hidden="1"/>
    <cellStyle name="Followed Hyperlink" xfId="2620" builtinId="9" hidden="1"/>
    <cellStyle name="Followed Hyperlink" xfId="2621" builtinId="9" hidden="1"/>
    <cellStyle name="Followed Hyperlink" xfId="2622" builtinId="9" hidden="1"/>
    <cellStyle name="Followed Hyperlink" xfId="2623" builtinId="9" hidden="1"/>
    <cellStyle name="Followed Hyperlink" xfId="2624" builtinId="9" hidden="1"/>
    <cellStyle name="Followed Hyperlink" xfId="2625" builtinId="9" hidden="1"/>
    <cellStyle name="Followed Hyperlink" xfId="2626" builtinId="9" hidden="1"/>
    <cellStyle name="Followed Hyperlink" xfId="2627" builtinId="9" hidden="1"/>
    <cellStyle name="Followed Hyperlink" xfId="2628" builtinId="9" hidden="1"/>
    <cellStyle name="Followed Hyperlink" xfId="2629" builtinId="9" hidden="1"/>
    <cellStyle name="Followed Hyperlink" xfId="2630" builtinId="9" hidden="1"/>
    <cellStyle name="Followed Hyperlink" xfId="2631" builtinId="9" hidden="1"/>
    <cellStyle name="Followed Hyperlink" xfId="2632" builtinId="9" hidden="1"/>
    <cellStyle name="Followed Hyperlink" xfId="2633" builtinId="9" hidden="1"/>
    <cellStyle name="Followed Hyperlink" xfId="2634" builtinId="9" hidden="1"/>
    <cellStyle name="Followed Hyperlink" xfId="2635" builtinId="9" hidden="1"/>
    <cellStyle name="Followed Hyperlink" xfId="2636" builtinId="9" hidden="1"/>
    <cellStyle name="Followed Hyperlink" xfId="2637" builtinId="9" hidden="1"/>
    <cellStyle name="Followed Hyperlink" xfId="2638" builtinId="9" hidden="1"/>
    <cellStyle name="Followed Hyperlink" xfId="2639" builtinId="9" hidden="1"/>
    <cellStyle name="Followed Hyperlink" xfId="2640" builtinId="9" hidden="1"/>
    <cellStyle name="Followed Hyperlink" xfId="2641" builtinId="9" hidden="1"/>
    <cellStyle name="Followed Hyperlink" xfId="2642" builtinId="9" hidden="1"/>
    <cellStyle name="Followed Hyperlink" xfId="2643" builtinId="9" hidden="1"/>
    <cellStyle name="Followed Hyperlink" xfId="2644" builtinId="9" hidden="1"/>
    <cellStyle name="Followed Hyperlink" xfId="2645" builtinId="9" hidden="1"/>
    <cellStyle name="Followed Hyperlink" xfId="2646" builtinId="9" hidden="1"/>
    <cellStyle name="Followed Hyperlink" xfId="2647" builtinId="9" hidden="1"/>
    <cellStyle name="Followed Hyperlink" xfId="2648" builtinId="9" hidden="1"/>
    <cellStyle name="Followed Hyperlink" xfId="2649" builtinId="9" hidden="1"/>
    <cellStyle name="Followed Hyperlink" xfId="2650" builtinId="9" hidden="1"/>
    <cellStyle name="Followed Hyperlink" xfId="2651" builtinId="9" hidden="1"/>
    <cellStyle name="Followed Hyperlink" xfId="2652" builtinId="9" hidden="1"/>
    <cellStyle name="Followed Hyperlink" xfId="2653" builtinId="9" hidden="1"/>
    <cellStyle name="Followed Hyperlink" xfId="2654" builtinId="9" hidden="1"/>
    <cellStyle name="Followed Hyperlink" xfId="2655" builtinId="9" hidden="1"/>
    <cellStyle name="Followed Hyperlink" xfId="2656" builtinId="9" hidden="1"/>
    <cellStyle name="Followed Hyperlink" xfId="2657" builtinId="9" hidden="1"/>
    <cellStyle name="Followed Hyperlink" xfId="2658" builtinId="9" hidden="1"/>
    <cellStyle name="Followed Hyperlink" xfId="2659" builtinId="9" hidden="1"/>
    <cellStyle name="Followed Hyperlink" xfId="2660" builtinId="9" hidden="1"/>
    <cellStyle name="Followed Hyperlink" xfId="2661" builtinId="9" hidden="1"/>
    <cellStyle name="Followed Hyperlink" xfId="2662" builtinId="9" hidden="1"/>
    <cellStyle name="Followed Hyperlink" xfId="2663" builtinId="9" hidden="1"/>
    <cellStyle name="Followed Hyperlink" xfId="2664" builtinId="9" hidden="1"/>
    <cellStyle name="Followed Hyperlink" xfId="2665" builtinId="9" hidden="1"/>
    <cellStyle name="Followed Hyperlink" xfId="2666" builtinId="9" hidden="1"/>
    <cellStyle name="Followed Hyperlink" xfId="2667" builtinId="9" hidden="1"/>
    <cellStyle name="Followed Hyperlink" xfId="2668" builtinId="9" hidden="1"/>
    <cellStyle name="Followed Hyperlink" xfId="2669" builtinId="9" hidden="1"/>
    <cellStyle name="Followed Hyperlink" xfId="2670" builtinId="9" hidden="1"/>
    <cellStyle name="Followed Hyperlink" xfId="2671" builtinId="9" hidden="1"/>
    <cellStyle name="Followed Hyperlink" xfId="2672" builtinId="9" hidden="1"/>
    <cellStyle name="Followed Hyperlink" xfId="2673" builtinId="9" hidden="1"/>
    <cellStyle name="Followed Hyperlink" xfId="2674" builtinId="9" hidden="1"/>
    <cellStyle name="Followed Hyperlink" xfId="2675" builtinId="9" hidden="1"/>
    <cellStyle name="Followed Hyperlink" xfId="2676" builtinId="9" hidden="1"/>
    <cellStyle name="Followed Hyperlink" xfId="2677" builtinId="9" hidden="1"/>
    <cellStyle name="Followed Hyperlink" xfId="2678" builtinId="9" hidden="1"/>
    <cellStyle name="Followed Hyperlink" xfId="2679" builtinId="9" hidden="1"/>
    <cellStyle name="Followed Hyperlink" xfId="2680" builtinId="9" hidden="1"/>
    <cellStyle name="Followed Hyperlink" xfId="2681" builtinId="9" hidden="1"/>
    <cellStyle name="Followed Hyperlink" xfId="2682" builtinId="9" hidden="1"/>
    <cellStyle name="Followed Hyperlink" xfId="2683" builtinId="9" hidden="1"/>
    <cellStyle name="Followed Hyperlink" xfId="2684" builtinId="9" hidden="1"/>
    <cellStyle name="Followed Hyperlink" xfId="2685" builtinId="9" hidden="1"/>
    <cellStyle name="Followed Hyperlink" xfId="2686" builtinId="9" hidden="1"/>
    <cellStyle name="Followed Hyperlink" xfId="2687" builtinId="9" hidden="1"/>
    <cellStyle name="Followed Hyperlink" xfId="2688" builtinId="9" hidden="1"/>
    <cellStyle name="Followed Hyperlink" xfId="2689" builtinId="9" hidden="1"/>
    <cellStyle name="Followed Hyperlink" xfId="2690" builtinId="9" hidden="1"/>
    <cellStyle name="Followed Hyperlink" xfId="2691" builtinId="9" hidden="1"/>
    <cellStyle name="Followed Hyperlink" xfId="2692" builtinId="9" hidden="1"/>
    <cellStyle name="Followed Hyperlink" xfId="2693" builtinId="9" hidden="1"/>
    <cellStyle name="Followed Hyperlink" xfId="2694" builtinId="9" hidden="1"/>
    <cellStyle name="Followed Hyperlink" xfId="2695" builtinId="9" hidden="1"/>
    <cellStyle name="Followed Hyperlink" xfId="2696" builtinId="9" hidden="1"/>
    <cellStyle name="Followed Hyperlink" xfId="2697" builtinId="9" hidden="1"/>
    <cellStyle name="Followed Hyperlink" xfId="2698" builtinId="9" hidden="1"/>
    <cellStyle name="Followed Hyperlink" xfId="2699" builtinId="9" hidden="1"/>
    <cellStyle name="Followed Hyperlink" xfId="2700" builtinId="9" hidden="1"/>
    <cellStyle name="Followed Hyperlink" xfId="2701" builtinId="9" hidden="1"/>
    <cellStyle name="Followed Hyperlink" xfId="2702" builtinId="9" hidden="1"/>
    <cellStyle name="Followed Hyperlink" xfId="2703" builtinId="9" hidden="1"/>
    <cellStyle name="Followed Hyperlink" xfId="2704" builtinId="9" hidden="1"/>
    <cellStyle name="Followed Hyperlink" xfId="2705" builtinId="9" hidden="1"/>
    <cellStyle name="Followed Hyperlink" xfId="2706" builtinId="9" hidden="1"/>
    <cellStyle name="Followed Hyperlink" xfId="2707" builtinId="9" hidden="1"/>
    <cellStyle name="Followed Hyperlink" xfId="2708" builtinId="9" hidden="1"/>
    <cellStyle name="Followed Hyperlink" xfId="2709" builtinId="9" hidden="1"/>
    <cellStyle name="Followed Hyperlink" xfId="2710" builtinId="9" hidden="1"/>
    <cellStyle name="Followed Hyperlink" xfId="2711" builtinId="9" hidden="1"/>
    <cellStyle name="Followed Hyperlink" xfId="2712" builtinId="9" hidden="1"/>
    <cellStyle name="Followed Hyperlink" xfId="2713" builtinId="9" hidden="1"/>
    <cellStyle name="Followed Hyperlink" xfId="2714" builtinId="9" hidden="1"/>
    <cellStyle name="Followed Hyperlink" xfId="2715" builtinId="9" hidden="1"/>
    <cellStyle name="Followed Hyperlink" xfId="2716" builtinId="9" hidden="1"/>
    <cellStyle name="Followed Hyperlink" xfId="2717" builtinId="9" hidden="1"/>
    <cellStyle name="Followed Hyperlink" xfId="2718" builtinId="9" hidden="1"/>
    <cellStyle name="Followed Hyperlink" xfId="2719" builtinId="9" hidden="1"/>
    <cellStyle name="Followed Hyperlink" xfId="2720" builtinId="9" hidden="1"/>
    <cellStyle name="Followed Hyperlink" xfId="2721" builtinId="9" hidden="1"/>
    <cellStyle name="Followed Hyperlink" xfId="2722" builtinId="9" hidden="1"/>
    <cellStyle name="Followed Hyperlink" xfId="2723" builtinId="9" hidden="1"/>
    <cellStyle name="Followed Hyperlink" xfId="2724" builtinId="9" hidden="1"/>
    <cellStyle name="Followed Hyperlink" xfId="2725" builtinId="9" hidden="1"/>
    <cellStyle name="Followed Hyperlink" xfId="2726" builtinId="9" hidden="1"/>
    <cellStyle name="Followed Hyperlink" xfId="2727" builtinId="9" hidden="1"/>
    <cellStyle name="Followed Hyperlink" xfId="2728" builtinId="9" hidden="1"/>
    <cellStyle name="Followed Hyperlink" xfId="2729" builtinId="9" hidden="1"/>
    <cellStyle name="Followed Hyperlink" xfId="2730" builtinId="9" hidden="1"/>
    <cellStyle name="Followed Hyperlink" xfId="2731" builtinId="9" hidden="1"/>
    <cellStyle name="Followed Hyperlink" xfId="2732" builtinId="9" hidden="1"/>
    <cellStyle name="Followed Hyperlink" xfId="2733" builtinId="9" hidden="1"/>
    <cellStyle name="Followed Hyperlink" xfId="2734" builtinId="9" hidden="1"/>
    <cellStyle name="Followed Hyperlink" xfId="2735" builtinId="9" hidden="1"/>
    <cellStyle name="Followed Hyperlink" xfId="2736" builtinId="9" hidden="1"/>
    <cellStyle name="Followed Hyperlink" xfId="2737" builtinId="9" hidden="1"/>
    <cellStyle name="Followed Hyperlink" xfId="2738" builtinId="9" hidden="1"/>
    <cellStyle name="Followed Hyperlink" xfId="2739" builtinId="9" hidden="1"/>
    <cellStyle name="Followed Hyperlink" xfId="2740" builtinId="9" hidden="1"/>
    <cellStyle name="Followed Hyperlink" xfId="2741" builtinId="9" hidden="1"/>
    <cellStyle name="Followed Hyperlink" xfId="2742" builtinId="9" hidden="1"/>
    <cellStyle name="Followed Hyperlink" xfId="2743" builtinId="9" hidden="1"/>
    <cellStyle name="Followed Hyperlink" xfId="2744" builtinId="9" hidden="1"/>
    <cellStyle name="Followed Hyperlink" xfId="2745" builtinId="9" hidden="1"/>
    <cellStyle name="Followed Hyperlink" xfId="2746" builtinId="9" hidden="1"/>
    <cellStyle name="Followed Hyperlink" xfId="2747" builtinId="9" hidden="1"/>
    <cellStyle name="Followed Hyperlink" xfId="2748" builtinId="9" hidden="1"/>
    <cellStyle name="Followed Hyperlink" xfId="2749" builtinId="9" hidden="1"/>
    <cellStyle name="Followed Hyperlink" xfId="2750" builtinId="9" hidden="1"/>
    <cellStyle name="Followed Hyperlink" xfId="2751" builtinId="9" hidden="1"/>
    <cellStyle name="Followed Hyperlink" xfId="2752" builtinId="9" hidden="1"/>
    <cellStyle name="Followed Hyperlink" xfId="2753" builtinId="9" hidden="1"/>
    <cellStyle name="Followed Hyperlink" xfId="2754" builtinId="9" hidden="1"/>
    <cellStyle name="Followed Hyperlink" xfId="2755" builtinId="9" hidden="1"/>
    <cellStyle name="Followed Hyperlink" xfId="2756" builtinId="9" hidden="1"/>
    <cellStyle name="Followed Hyperlink" xfId="2757" builtinId="9" hidden="1"/>
    <cellStyle name="Followed Hyperlink" xfId="2758" builtinId="9" hidden="1"/>
    <cellStyle name="Followed Hyperlink" xfId="2759" builtinId="9" hidden="1"/>
    <cellStyle name="Followed Hyperlink" xfId="2760" builtinId="9" hidden="1"/>
    <cellStyle name="Followed Hyperlink" xfId="2761" builtinId="9" hidden="1"/>
    <cellStyle name="Followed Hyperlink" xfId="2762" builtinId="9" hidden="1"/>
    <cellStyle name="Followed Hyperlink" xfId="2763" builtinId="9" hidden="1"/>
    <cellStyle name="Followed Hyperlink" xfId="2764" builtinId="9" hidden="1"/>
    <cellStyle name="Followed Hyperlink" xfId="2765" builtinId="9" hidden="1"/>
    <cellStyle name="Followed Hyperlink" xfId="2766" builtinId="9" hidden="1"/>
    <cellStyle name="Followed Hyperlink" xfId="2767" builtinId="9" hidden="1"/>
    <cellStyle name="Followed Hyperlink" xfId="2768" builtinId="9" hidden="1"/>
    <cellStyle name="Followed Hyperlink" xfId="2769" builtinId="9" hidden="1"/>
    <cellStyle name="Followed Hyperlink" xfId="2770" builtinId="9" hidden="1"/>
    <cellStyle name="Followed Hyperlink" xfId="2771" builtinId="9" hidden="1"/>
    <cellStyle name="Followed Hyperlink" xfId="2772" builtinId="9" hidden="1"/>
    <cellStyle name="Followed Hyperlink" xfId="2773" builtinId="9" hidden="1"/>
    <cellStyle name="Followed Hyperlink" xfId="2774" builtinId="9" hidden="1"/>
    <cellStyle name="Followed Hyperlink" xfId="2775" builtinId="9" hidden="1"/>
    <cellStyle name="Followed Hyperlink" xfId="2776" builtinId="9" hidden="1"/>
    <cellStyle name="Followed Hyperlink" xfId="2777" builtinId="9" hidden="1"/>
    <cellStyle name="Followed Hyperlink" xfId="2778" builtinId="9" hidden="1"/>
    <cellStyle name="Followed Hyperlink" xfId="2779" builtinId="9" hidden="1"/>
    <cellStyle name="Followed Hyperlink" xfId="2780" builtinId="9" hidden="1"/>
    <cellStyle name="Followed Hyperlink" xfId="2781" builtinId="9" hidden="1"/>
    <cellStyle name="Followed Hyperlink" xfId="2782" builtinId="9" hidden="1"/>
    <cellStyle name="Followed Hyperlink" xfId="2783" builtinId="9" hidden="1"/>
    <cellStyle name="Followed Hyperlink" xfId="2784" builtinId="9" hidden="1"/>
    <cellStyle name="Followed Hyperlink" xfId="2785" builtinId="9" hidden="1"/>
    <cellStyle name="Followed Hyperlink" xfId="2786" builtinId="9" hidden="1"/>
    <cellStyle name="Followed Hyperlink" xfId="2787" builtinId="9" hidden="1"/>
    <cellStyle name="Followed Hyperlink" xfId="2788" builtinId="9" hidden="1"/>
    <cellStyle name="Followed Hyperlink" xfId="2789" builtinId="9" hidden="1"/>
    <cellStyle name="Followed Hyperlink" xfId="2790" builtinId="9" hidden="1"/>
    <cellStyle name="Followed Hyperlink" xfId="2791" builtinId="9" hidden="1"/>
    <cellStyle name="Followed Hyperlink" xfId="2792" builtinId="9" hidden="1"/>
    <cellStyle name="Followed Hyperlink" xfId="2793" builtinId="9" hidden="1"/>
    <cellStyle name="Followed Hyperlink" xfId="2794" builtinId="9" hidden="1"/>
    <cellStyle name="Followed Hyperlink" xfId="2795" builtinId="9" hidden="1"/>
    <cellStyle name="Followed Hyperlink" xfId="2796" builtinId="9" hidden="1"/>
    <cellStyle name="Followed Hyperlink" xfId="2797" builtinId="9" hidden="1"/>
    <cellStyle name="Followed Hyperlink" xfId="2798" builtinId="9" hidden="1"/>
    <cellStyle name="Followed Hyperlink" xfId="2799" builtinId="9" hidden="1"/>
    <cellStyle name="Followed Hyperlink" xfId="2800" builtinId="9" hidden="1"/>
    <cellStyle name="Followed Hyperlink" xfId="2801" builtinId="9" hidden="1"/>
    <cellStyle name="Followed Hyperlink" xfId="2802" builtinId="9" hidden="1"/>
    <cellStyle name="Followed Hyperlink" xfId="2803" builtinId="9" hidden="1"/>
    <cellStyle name="Followed Hyperlink" xfId="2804" builtinId="9" hidden="1"/>
    <cellStyle name="Followed Hyperlink" xfId="2805" builtinId="9" hidden="1"/>
    <cellStyle name="Followed Hyperlink" xfId="2806" builtinId="9" hidden="1"/>
    <cellStyle name="Followed Hyperlink" xfId="2807" builtinId="9" hidden="1"/>
    <cellStyle name="Followed Hyperlink" xfId="2808" builtinId="9" hidden="1"/>
    <cellStyle name="Followed Hyperlink" xfId="2809" builtinId="9" hidden="1"/>
    <cellStyle name="Followed Hyperlink" xfId="2810" builtinId="9" hidden="1"/>
    <cellStyle name="Followed Hyperlink" xfId="2811" builtinId="9" hidden="1"/>
    <cellStyle name="Followed Hyperlink" xfId="2812" builtinId="9" hidden="1"/>
    <cellStyle name="Followed Hyperlink" xfId="2813" builtinId="9" hidden="1"/>
    <cellStyle name="Followed Hyperlink" xfId="2814" builtinId="9" hidden="1"/>
    <cellStyle name="Followed Hyperlink" xfId="2815" builtinId="9" hidden="1"/>
    <cellStyle name="Followed Hyperlink" xfId="2816" builtinId="9" hidden="1"/>
    <cellStyle name="Followed Hyperlink" xfId="2817" builtinId="9" hidden="1"/>
    <cellStyle name="Followed Hyperlink" xfId="2818" builtinId="9" hidden="1"/>
    <cellStyle name="Followed Hyperlink" xfId="2819" builtinId="9" hidden="1"/>
    <cellStyle name="Followed Hyperlink" xfId="2820" builtinId="9" hidden="1"/>
    <cellStyle name="Followed Hyperlink" xfId="2821" builtinId="9" hidden="1"/>
    <cellStyle name="Followed Hyperlink" xfId="2822" builtinId="9" hidden="1"/>
    <cellStyle name="Followed Hyperlink" xfId="2823" builtinId="9" hidden="1"/>
    <cellStyle name="Followed Hyperlink" xfId="2824" builtinId="9" hidden="1"/>
    <cellStyle name="Followed Hyperlink" xfId="2825" builtinId="9" hidden="1"/>
    <cellStyle name="Followed Hyperlink" xfId="2826" builtinId="9" hidden="1"/>
    <cellStyle name="Followed Hyperlink" xfId="2827" builtinId="9" hidden="1"/>
    <cellStyle name="Followed Hyperlink" xfId="2828" builtinId="9" hidden="1"/>
    <cellStyle name="Followed Hyperlink" xfId="2829" builtinId="9" hidden="1"/>
    <cellStyle name="Followed Hyperlink" xfId="2830" builtinId="9" hidden="1"/>
    <cellStyle name="Followed Hyperlink" xfId="2831" builtinId="9" hidden="1"/>
    <cellStyle name="Followed Hyperlink" xfId="2832" builtinId="9" hidden="1"/>
    <cellStyle name="Followed Hyperlink" xfId="2833" builtinId="9" hidden="1"/>
    <cellStyle name="Followed Hyperlink" xfId="2834" builtinId="9" hidden="1"/>
    <cellStyle name="Followed Hyperlink" xfId="2835" builtinId="9" hidden="1"/>
    <cellStyle name="Followed Hyperlink" xfId="2836" builtinId="9" hidden="1"/>
    <cellStyle name="Followed Hyperlink" xfId="2837" builtinId="9" hidden="1"/>
    <cellStyle name="Followed Hyperlink" xfId="2838" builtinId="9" hidden="1"/>
    <cellStyle name="Followed Hyperlink" xfId="2839" builtinId="9" hidden="1"/>
    <cellStyle name="Followed Hyperlink" xfId="2840" builtinId="9" hidden="1"/>
    <cellStyle name="Followed Hyperlink" xfId="2841" builtinId="9" hidden="1"/>
    <cellStyle name="Followed Hyperlink" xfId="2842" builtinId="9" hidden="1"/>
    <cellStyle name="Followed Hyperlink" xfId="284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ck.matzke@anu.edu.a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B18" sqref="B18"/>
    </sheetView>
  </sheetViews>
  <sheetFormatPr baseColWidth="10" defaultRowHeight="16" x14ac:dyDescent="0.2"/>
  <cols>
    <col min="1" max="1" width="33" customWidth="1"/>
    <col min="2" max="2" width="112.83203125" style="22" customWidth="1"/>
  </cols>
  <sheetData>
    <row r="1" spans="1:2" x14ac:dyDescent="0.2">
      <c r="A1" s="1" t="s">
        <v>199</v>
      </c>
    </row>
    <row r="3" spans="1:2" ht="34" x14ac:dyDescent="0.2">
      <c r="A3" s="23" t="s">
        <v>200</v>
      </c>
      <c r="B3" s="29" t="s">
        <v>725</v>
      </c>
    </row>
    <row r="4" spans="1:2" x14ac:dyDescent="0.2">
      <c r="A4" s="23"/>
      <c r="B4" s="29"/>
    </row>
    <row r="5" spans="1:2" ht="17" x14ac:dyDescent="0.2">
      <c r="A5" s="23" t="s">
        <v>201</v>
      </c>
      <c r="B5" s="29" t="s">
        <v>779</v>
      </c>
    </row>
    <row r="6" spans="1:2" x14ac:dyDescent="0.2">
      <c r="A6" s="23"/>
      <c r="B6" s="29"/>
    </row>
    <row r="7" spans="1:2" x14ac:dyDescent="0.2">
      <c r="A7" s="23" t="s">
        <v>202</v>
      </c>
      <c r="B7" t="s">
        <v>726</v>
      </c>
    </row>
    <row r="8" spans="1:2" x14ac:dyDescent="0.2">
      <c r="A8" s="23"/>
      <c r="B8" s="29"/>
    </row>
    <row r="9" spans="1:2" x14ac:dyDescent="0.2">
      <c r="A9" s="23"/>
      <c r="B9" s="29"/>
    </row>
    <row r="10" spans="1:2" ht="17" x14ac:dyDescent="0.2">
      <c r="A10" s="23" t="s">
        <v>206</v>
      </c>
      <c r="B10" s="29" t="s">
        <v>361</v>
      </c>
    </row>
    <row r="11" spans="1:2" x14ac:dyDescent="0.2">
      <c r="A11" s="23"/>
    </row>
    <row r="12" spans="1:2" ht="17" x14ac:dyDescent="0.2">
      <c r="A12" s="23" t="s">
        <v>203</v>
      </c>
      <c r="B12" s="29" t="s">
        <v>350</v>
      </c>
    </row>
    <row r="13" spans="1:2" x14ac:dyDescent="0.2">
      <c r="A13" s="24"/>
    </row>
    <row r="14" spans="1:2" ht="17" x14ac:dyDescent="0.2">
      <c r="A14" s="23" t="s">
        <v>204</v>
      </c>
      <c r="B14" s="22" t="s">
        <v>205</v>
      </c>
    </row>
    <row r="15" spans="1:2" ht="17" x14ac:dyDescent="0.2">
      <c r="B15" s="22" t="s">
        <v>367</v>
      </c>
    </row>
    <row r="16" spans="1:2" ht="17" x14ac:dyDescent="0.2">
      <c r="B16" s="39" t="s">
        <v>366</v>
      </c>
    </row>
    <row r="17" spans="1:2" x14ac:dyDescent="0.2">
      <c r="B17" s="39"/>
    </row>
    <row r="18" spans="1:2" ht="34" x14ac:dyDescent="0.2">
      <c r="A18" s="25" t="s">
        <v>207</v>
      </c>
      <c r="B18" t="s">
        <v>987</v>
      </c>
    </row>
    <row r="20" spans="1:2" x14ac:dyDescent="0.2">
      <c r="A20" s="48" t="s">
        <v>427</v>
      </c>
    </row>
    <row r="25" spans="1:2" ht="17" x14ac:dyDescent="0.2">
      <c r="A25" s="48" t="s">
        <v>426</v>
      </c>
      <c r="B25" s="22" t="s">
        <v>727</v>
      </c>
    </row>
    <row r="29" spans="1:2" x14ac:dyDescent="0.2">
      <c r="A29" s="47"/>
    </row>
  </sheetData>
  <hyperlinks>
    <hyperlink ref="B16" r:id="rId1" xr:uid="{00000000-0004-0000-0000-000000000000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3"/>
  <sheetViews>
    <sheetView topLeftCell="B1" workbookViewId="0">
      <pane ySplit="15" topLeftCell="A16" activePane="bottomLeft" state="frozen"/>
      <selection pane="bottomLeft" activeCell="E16" sqref="E16:E205"/>
    </sheetView>
  </sheetViews>
  <sheetFormatPr baseColWidth="10" defaultRowHeight="16" x14ac:dyDescent="0.2"/>
  <cols>
    <col min="1" max="1" width="4.1640625" customWidth="1"/>
    <col min="2" max="2" width="4" customWidth="1"/>
    <col min="3" max="3" width="6.83203125" customWidth="1"/>
    <col min="4" max="4" width="12.83203125" customWidth="1"/>
    <col min="5" max="5" width="32.6640625" customWidth="1"/>
    <col min="6" max="6" width="11.6640625" customWidth="1"/>
    <col min="7" max="7" width="11.5" customWidth="1"/>
    <col min="8" max="8" width="7" style="16" customWidth="1"/>
    <col min="9" max="13" width="15.83203125" customWidth="1"/>
  </cols>
  <sheetData>
    <row r="1" spans="1:31" x14ac:dyDescent="0.2">
      <c r="A1" s="1" t="s">
        <v>66</v>
      </c>
      <c r="B1" s="1"/>
      <c r="C1" s="1"/>
      <c r="D1" s="1"/>
    </row>
    <row r="2" spans="1:31" x14ac:dyDescent="0.2">
      <c r="A2" t="s">
        <v>39</v>
      </c>
      <c r="P2" t="s">
        <v>487</v>
      </c>
    </row>
    <row r="3" spans="1:31" x14ac:dyDescent="0.2">
      <c r="A3" t="s">
        <v>40</v>
      </c>
    </row>
    <row r="4" spans="1:31" x14ac:dyDescent="0.2">
      <c r="A4" t="s">
        <v>41</v>
      </c>
      <c r="X4" t="s">
        <v>319</v>
      </c>
      <c r="AC4" s="12"/>
    </row>
    <row r="5" spans="1:31" x14ac:dyDescent="0.2">
      <c r="A5" t="s">
        <v>43</v>
      </c>
    </row>
    <row r="6" spans="1:31" s="15" customFormat="1" ht="213" x14ac:dyDescent="0.2">
      <c r="A6" s="59" t="s">
        <v>219</v>
      </c>
      <c r="B6" s="59" t="s">
        <v>249</v>
      </c>
      <c r="C6" s="59" t="s">
        <v>780</v>
      </c>
      <c r="D6" s="59" t="s">
        <v>751</v>
      </c>
      <c r="E6" s="59" t="s">
        <v>55</v>
      </c>
      <c r="F6" s="59" t="s">
        <v>56</v>
      </c>
      <c r="G6" s="59" t="s">
        <v>50</v>
      </c>
      <c r="H6" s="61" t="s">
        <v>335</v>
      </c>
      <c r="I6" s="59" t="s">
        <v>53</v>
      </c>
      <c r="J6" s="59" t="s">
        <v>52</v>
      </c>
      <c r="K6" s="59"/>
      <c r="L6" s="59" t="s">
        <v>781</v>
      </c>
      <c r="M6" s="59" t="s">
        <v>54</v>
      </c>
      <c r="N6" s="62" t="s">
        <v>81</v>
      </c>
      <c r="O6" s="59"/>
      <c r="P6" s="59" t="s">
        <v>193</v>
      </c>
      <c r="Q6" s="59" t="s">
        <v>194</v>
      </c>
      <c r="R6" s="59"/>
      <c r="S6" s="59" t="s">
        <v>213</v>
      </c>
      <c r="T6" s="59" t="s">
        <v>218</v>
      </c>
      <c r="U6" s="58" t="s">
        <v>293</v>
      </c>
      <c r="V6" s="58"/>
      <c r="W6" s="58"/>
      <c r="X6" s="58" t="s">
        <v>299</v>
      </c>
      <c r="Y6" s="58" t="s">
        <v>179</v>
      </c>
      <c r="Z6" s="58"/>
      <c r="AA6" s="58"/>
      <c r="AB6" s="58" t="s">
        <v>198</v>
      </c>
      <c r="AC6" s="63"/>
      <c r="AD6" s="59"/>
      <c r="AE6" s="59"/>
    </row>
    <row r="7" spans="1:31" x14ac:dyDescent="0.2">
      <c r="H7" s="16" t="s">
        <v>336</v>
      </c>
      <c r="P7" t="s">
        <v>214</v>
      </c>
      <c r="Q7" t="s">
        <v>215</v>
      </c>
      <c r="X7" t="s">
        <v>313</v>
      </c>
    </row>
    <row r="8" spans="1:31" ht="68" x14ac:dyDescent="0.2">
      <c r="A8" s="12" t="s">
        <v>220</v>
      </c>
      <c r="B8" s="12" t="s">
        <v>8</v>
      </c>
      <c r="C8" s="12" t="s">
        <v>784</v>
      </c>
      <c r="D8" s="12" t="s">
        <v>752</v>
      </c>
      <c r="F8" t="s">
        <v>352</v>
      </c>
      <c r="G8" t="s">
        <v>46</v>
      </c>
      <c r="H8" s="16" t="s">
        <v>337</v>
      </c>
      <c r="I8" t="s">
        <v>221</v>
      </c>
      <c r="L8" s="7" t="s">
        <v>783</v>
      </c>
      <c r="N8" t="s">
        <v>227</v>
      </c>
      <c r="X8" t="s">
        <v>314</v>
      </c>
    </row>
    <row r="9" spans="1:31" x14ac:dyDescent="0.2">
      <c r="B9" t="s">
        <v>9</v>
      </c>
      <c r="F9" t="s">
        <v>351</v>
      </c>
      <c r="G9" t="s">
        <v>47</v>
      </c>
      <c r="H9" s="16" t="s">
        <v>8</v>
      </c>
      <c r="I9" t="s">
        <v>222</v>
      </c>
      <c r="X9" t="s">
        <v>315</v>
      </c>
    </row>
    <row r="10" spans="1:31" x14ac:dyDescent="0.2">
      <c r="B10" t="s">
        <v>250</v>
      </c>
      <c r="G10" t="s">
        <v>48</v>
      </c>
      <c r="H10" s="16" t="s">
        <v>9</v>
      </c>
      <c r="X10" t="s">
        <v>316</v>
      </c>
      <c r="Y10" t="s">
        <v>47</v>
      </c>
    </row>
    <row r="11" spans="1:31" x14ac:dyDescent="0.2">
      <c r="G11" t="s">
        <v>71</v>
      </c>
      <c r="I11" t="s">
        <v>223</v>
      </c>
      <c r="Y11" t="s">
        <v>48</v>
      </c>
      <c r="Z11" t="s">
        <v>72</v>
      </c>
      <c r="AA11" t="s">
        <v>75</v>
      </c>
      <c r="AC11" t="s">
        <v>77</v>
      </c>
      <c r="AD11" t="s">
        <v>332</v>
      </c>
    </row>
    <row r="12" spans="1:31" x14ac:dyDescent="0.2">
      <c r="G12" t="s">
        <v>225</v>
      </c>
      <c r="H12" s="16" t="s">
        <v>413</v>
      </c>
      <c r="I12" t="s">
        <v>224</v>
      </c>
      <c r="Y12" t="s">
        <v>71</v>
      </c>
      <c r="Z12" t="s">
        <v>73</v>
      </c>
      <c r="AA12" t="s">
        <v>76</v>
      </c>
      <c r="AB12" t="s">
        <v>8</v>
      </c>
      <c r="AD12">
        <f>SUM(AD16:AD39)</f>
        <v>0</v>
      </c>
    </row>
    <row r="13" spans="1:31" x14ac:dyDescent="0.2">
      <c r="E13" s="19" t="s">
        <v>173</v>
      </c>
      <c r="H13" s="16" t="s">
        <v>9</v>
      </c>
      <c r="I13" t="s">
        <v>226</v>
      </c>
      <c r="Y13" t="s">
        <v>225</v>
      </c>
      <c r="Z13" t="s">
        <v>74</v>
      </c>
      <c r="AA13" t="s">
        <v>74</v>
      </c>
      <c r="AB13" t="s">
        <v>9</v>
      </c>
    </row>
    <row r="14" spans="1:31" ht="17" thickBot="1" x14ac:dyDescent="0.25"/>
    <row r="15" spans="1:31" s="9" customFormat="1" ht="17" thickBot="1" x14ac:dyDescent="0.25">
      <c r="A15" s="9" t="s">
        <v>10</v>
      </c>
      <c r="B15" s="9" t="s">
        <v>0</v>
      </c>
      <c r="C15" s="9" t="s">
        <v>780</v>
      </c>
      <c r="D15" s="9" t="s">
        <v>750</v>
      </c>
      <c r="E15" s="9" t="s">
        <v>57</v>
      </c>
      <c r="F15" s="34" t="s">
        <v>42</v>
      </c>
      <c r="G15" s="9" t="s">
        <v>44</v>
      </c>
      <c r="H15" s="34" t="s">
        <v>338</v>
      </c>
      <c r="I15" s="9" t="s">
        <v>45</v>
      </c>
      <c r="J15" s="9" t="s">
        <v>51</v>
      </c>
      <c r="K15" s="9" t="s">
        <v>362</v>
      </c>
      <c r="L15" s="9" t="s">
        <v>782</v>
      </c>
      <c r="M15" s="9" t="s">
        <v>49</v>
      </c>
      <c r="N15" s="9" t="s">
        <v>81</v>
      </c>
      <c r="O15" s="9" t="s">
        <v>267</v>
      </c>
      <c r="P15" s="20" t="s">
        <v>190</v>
      </c>
      <c r="Q15" s="20" t="s">
        <v>191</v>
      </c>
      <c r="R15" s="9" t="s">
        <v>192</v>
      </c>
      <c r="S15" s="9" t="s">
        <v>216</v>
      </c>
      <c r="T15" s="9" t="s">
        <v>217</v>
      </c>
      <c r="U15" s="9" t="s">
        <v>310</v>
      </c>
      <c r="V15" s="9" t="s">
        <v>311</v>
      </c>
      <c r="W15" s="9" t="s">
        <v>312</v>
      </c>
      <c r="X15" s="9" t="s">
        <v>294</v>
      </c>
      <c r="Y15" s="9" t="s">
        <v>307</v>
      </c>
      <c r="Z15" s="9" t="s">
        <v>308</v>
      </c>
      <c r="AA15" s="9" t="s">
        <v>309</v>
      </c>
      <c r="AB15" s="9" t="s">
        <v>296</v>
      </c>
      <c r="AC15" s="9" t="s">
        <v>297</v>
      </c>
      <c r="AD15" s="9" t="s">
        <v>331</v>
      </c>
    </row>
    <row r="16" spans="1:31" x14ac:dyDescent="0.2">
      <c r="A16">
        <v>1</v>
      </c>
      <c r="B16" s="8" t="s">
        <v>8</v>
      </c>
      <c r="C16" s="8" t="s">
        <v>8</v>
      </c>
      <c r="E16" t="s">
        <v>797</v>
      </c>
      <c r="F16" s="35">
        <v>0</v>
      </c>
      <c r="G16" s="16" t="str">
        <f t="shared" ref="G16:G64" si="0">IF(I16=J16,"fixed",IF(I16=0,"fixed","uniform"))</f>
        <v>fixed</v>
      </c>
      <c r="H16" s="16" t="str">
        <f>IF(G16="uniform",H$13,"no")</f>
        <v>no</v>
      </c>
      <c r="I16">
        <v>0</v>
      </c>
      <c r="J16">
        <v>0</v>
      </c>
      <c r="K16" s="51" t="str">
        <f>IF(N16=M16,"","X")</f>
        <v/>
      </c>
      <c r="L16" s="51"/>
      <c r="R16">
        <f>MIN(P16:P20,P22:P45,P47:P51)</f>
        <v>0</v>
      </c>
    </row>
    <row r="17" spans="1:24" x14ac:dyDescent="0.2">
      <c r="A17">
        <v>2</v>
      </c>
      <c r="B17" s="8" t="s">
        <v>8</v>
      </c>
      <c r="C17" s="8" t="s">
        <v>8</v>
      </c>
      <c r="E17" t="s">
        <v>798</v>
      </c>
      <c r="F17" s="35">
        <v>0</v>
      </c>
      <c r="G17" s="16" t="str">
        <f t="shared" si="0"/>
        <v>fixed</v>
      </c>
      <c r="H17" s="16" t="str">
        <f t="shared" ref="H17:H80" si="1">IF(G17="uniform",H$13,"no")</f>
        <v>no</v>
      </c>
      <c r="I17">
        <v>0</v>
      </c>
      <c r="J17">
        <v>0</v>
      </c>
      <c r="K17" s="51"/>
      <c r="L17" s="51"/>
      <c r="X17" s="8"/>
    </row>
    <row r="18" spans="1:24" x14ac:dyDescent="0.2">
      <c r="A18">
        <v>3</v>
      </c>
      <c r="B18" s="8" t="s">
        <v>8</v>
      </c>
      <c r="C18" s="8" t="s">
        <v>8</v>
      </c>
      <c r="E18" t="s">
        <v>799</v>
      </c>
      <c r="F18" s="35">
        <v>0</v>
      </c>
      <c r="G18" s="16" t="str">
        <f t="shared" si="0"/>
        <v>fixed</v>
      </c>
      <c r="H18" s="16" t="str">
        <f t="shared" si="1"/>
        <v>no</v>
      </c>
      <c r="I18">
        <v>0</v>
      </c>
      <c r="J18">
        <v>0</v>
      </c>
      <c r="K18" s="51"/>
      <c r="L18" s="51"/>
    </row>
    <row r="19" spans="1:24" x14ac:dyDescent="0.2">
      <c r="A19">
        <v>4</v>
      </c>
      <c r="B19" s="8" t="s">
        <v>8</v>
      </c>
      <c r="C19" s="8" t="s">
        <v>8</v>
      </c>
      <c r="E19" t="s">
        <v>800</v>
      </c>
      <c r="F19" s="35">
        <v>0</v>
      </c>
      <c r="G19" s="16" t="str">
        <f t="shared" si="0"/>
        <v>fixed</v>
      </c>
      <c r="H19" s="16" t="str">
        <f t="shared" si="1"/>
        <v>no</v>
      </c>
      <c r="I19">
        <v>0</v>
      </c>
      <c r="J19">
        <v>0</v>
      </c>
      <c r="K19" s="51"/>
      <c r="L19" s="51"/>
    </row>
    <row r="20" spans="1:24" x14ac:dyDescent="0.2">
      <c r="A20">
        <v>5</v>
      </c>
      <c r="B20" s="8" t="s">
        <v>8</v>
      </c>
      <c r="C20" s="8" t="s">
        <v>8</v>
      </c>
      <c r="E20" t="s">
        <v>801</v>
      </c>
      <c r="F20" s="35">
        <v>0</v>
      </c>
      <c r="G20" s="16" t="str">
        <f t="shared" si="0"/>
        <v>fixed</v>
      </c>
      <c r="H20" s="16" t="str">
        <f t="shared" si="1"/>
        <v>no</v>
      </c>
      <c r="I20">
        <v>0</v>
      </c>
      <c r="J20">
        <v>0</v>
      </c>
      <c r="K20" s="51"/>
      <c r="L20" s="51"/>
    </row>
    <row r="21" spans="1:24" x14ac:dyDescent="0.2">
      <c r="A21">
        <v>6</v>
      </c>
      <c r="B21" s="8" t="s">
        <v>8</v>
      </c>
      <c r="C21" s="8" t="s">
        <v>8</v>
      </c>
      <c r="E21" t="s">
        <v>802</v>
      </c>
      <c r="F21" s="35">
        <v>0</v>
      </c>
      <c r="G21" s="16" t="str">
        <f t="shared" si="0"/>
        <v>fixed</v>
      </c>
      <c r="H21" s="16" t="str">
        <f t="shared" si="1"/>
        <v>no</v>
      </c>
      <c r="I21">
        <v>0</v>
      </c>
      <c r="J21">
        <v>0</v>
      </c>
      <c r="K21" s="51"/>
      <c r="L21" s="51"/>
    </row>
    <row r="22" spans="1:24" x14ac:dyDescent="0.2">
      <c r="A22">
        <v>7</v>
      </c>
      <c r="B22" s="8" t="s">
        <v>8</v>
      </c>
      <c r="C22" s="8" t="s">
        <v>8</v>
      </c>
      <c r="E22" t="s">
        <v>803</v>
      </c>
      <c r="F22" s="35">
        <v>0</v>
      </c>
      <c r="G22" s="16" t="str">
        <f t="shared" si="0"/>
        <v>fixed</v>
      </c>
      <c r="H22" s="16" t="str">
        <f t="shared" si="1"/>
        <v>no</v>
      </c>
      <c r="I22">
        <v>0</v>
      </c>
      <c r="J22">
        <v>0</v>
      </c>
      <c r="K22" s="51"/>
      <c r="L22" s="51"/>
    </row>
    <row r="23" spans="1:24" x14ac:dyDescent="0.2">
      <c r="A23">
        <v>8</v>
      </c>
      <c r="B23" s="8" t="s">
        <v>8</v>
      </c>
      <c r="C23" s="8" t="s">
        <v>8</v>
      </c>
      <c r="E23" t="s">
        <v>804</v>
      </c>
      <c r="F23" s="35">
        <v>0</v>
      </c>
      <c r="G23" s="16" t="str">
        <f t="shared" si="0"/>
        <v>fixed</v>
      </c>
      <c r="H23" s="16" t="str">
        <f t="shared" si="1"/>
        <v>no</v>
      </c>
      <c r="I23">
        <v>0</v>
      </c>
      <c r="J23">
        <v>0</v>
      </c>
      <c r="K23" s="51"/>
      <c r="L23" s="51"/>
    </row>
    <row r="24" spans="1:24" x14ac:dyDescent="0.2">
      <c r="A24">
        <v>9</v>
      </c>
      <c r="B24" s="8" t="s">
        <v>8</v>
      </c>
      <c r="C24" s="8" t="s">
        <v>8</v>
      </c>
      <c r="E24" t="s">
        <v>805</v>
      </c>
      <c r="F24" s="35">
        <v>0</v>
      </c>
      <c r="G24" s="16" t="str">
        <f t="shared" si="0"/>
        <v>fixed</v>
      </c>
      <c r="H24" s="16" t="str">
        <f t="shared" si="1"/>
        <v>no</v>
      </c>
      <c r="I24">
        <v>0</v>
      </c>
      <c r="J24">
        <v>0</v>
      </c>
      <c r="K24" s="51"/>
      <c r="L24" s="51"/>
    </row>
    <row r="25" spans="1:24" x14ac:dyDescent="0.2">
      <c r="A25">
        <v>10</v>
      </c>
      <c r="B25" s="8" t="s">
        <v>8</v>
      </c>
      <c r="C25" s="8" t="s">
        <v>8</v>
      </c>
      <c r="E25" t="s">
        <v>806</v>
      </c>
      <c r="F25" s="35">
        <v>0</v>
      </c>
      <c r="G25" s="16" t="str">
        <f t="shared" si="0"/>
        <v>fixed</v>
      </c>
      <c r="H25" s="16" t="str">
        <f t="shared" si="1"/>
        <v>no</v>
      </c>
      <c r="I25">
        <v>0</v>
      </c>
      <c r="J25">
        <v>0</v>
      </c>
      <c r="K25" s="51"/>
      <c r="L25" s="51"/>
    </row>
    <row r="26" spans="1:24" x14ac:dyDescent="0.2">
      <c r="A26">
        <v>11</v>
      </c>
      <c r="B26" s="8" t="s">
        <v>8</v>
      </c>
      <c r="C26" s="8" t="s">
        <v>8</v>
      </c>
      <c r="E26" t="s">
        <v>807</v>
      </c>
      <c r="F26" s="35">
        <v>0</v>
      </c>
      <c r="G26" s="16" t="str">
        <f t="shared" si="0"/>
        <v>fixed</v>
      </c>
      <c r="H26" s="16" t="str">
        <f t="shared" si="1"/>
        <v>no</v>
      </c>
      <c r="I26">
        <v>0</v>
      </c>
      <c r="J26">
        <v>0</v>
      </c>
      <c r="K26" s="51"/>
      <c r="L26" s="51"/>
    </row>
    <row r="27" spans="1:24" x14ac:dyDescent="0.2">
      <c r="A27">
        <v>12</v>
      </c>
      <c r="B27" s="8" t="s">
        <v>8</v>
      </c>
      <c r="C27" s="8" t="s">
        <v>8</v>
      </c>
      <c r="E27" t="s">
        <v>808</v>
      </c>
      <c r="F27" s="35">
        <v>0</v>
      </c>
      <c r="G27" s="16" t="str">
        <f t="shared" si="0"/>
        <v>fixed</v>
      </c>
      <c r="H27" s="16" t="str">
        <f t="shared" si="1"/>
        <v>no</v>
      </c>
      <c r="I27">
        <v>0</v>
      </c>
      <c r="J27">
        <v>0</v>
      </c>
      <c r="K27" s="51"/>
      <c r="L27" s="51"/>
    </row>
    <row r="28" spans="1:24" x14ac:dyDescent="0.2">
      <c r="A28">
        <v>13</v>
      </c>
      <c r="B28" s="8" t="s">
        <v>8</v>
      </c>
      <c r="C28" s="8" t="s">
        <v>8</v>
      </c>
      <c r="E28" t="s">
        <v>809</v>
      </c>
      <c r="F28" s="35">
        <v>0</v>
      </c>
      <c r="G28" s="16" t="str">
        <f t="shared" si="0"/>
        <v>fixed</v>
      </c>
      <c r="H28" s="16" t="str">
        <f t="shared" si="1"/>
        <v>no</v>
      </c>
      <c r="I28">
        <v>0</v>
      </c>
      <c r="J28">
        <v>0</v>
      </c>
      <c r="K28" s="51"/>
      <c r="L28" s="51"/>
    </row>
    <row r="29" spans="1:24" x14ac:dyDescent="0.2">
      <c r="A29">
        <v>14</v>
      </c>
      <c r="B29" s="8" t="s">
        <v>8</v>
      </c>
      <c r="C29" s="8" t="s">
        <v>8</v>
      </c>
      <c r="E29" t="s">
        <v>810</v>
      </c>
      <c r="F29" s="35">
        <v>0</v>
      </c>
      <c r="G29" s="16" t="str">
        <f t="shared" si="0"/>
        <v>fixed</v>
      </c>
      <c r="H29" s="16" t="str">
        <f t="shared" si="1"/>
        <v>no</v>
      </c>
      <c r="I29">
        <v>0</v>
      </c>
      <c r="J29">
        <v>0</v>
      </c>
      <c r="K29" s="51"/>
      <c r="L29" s="51"/>
    </row>
    <row r="30" spans="1:24" x14ac:dyDescent="0.2">
      <c r="A30">
        <v>15</v>
      </c>
      <c r="B30" s="8" t="s">
        <v>8</v>
      </c>
      <c r="C30" s="8" t="s">
        <v>8</v>
      </c>
      <c r="E30" t="s">
        <v>811</v>
      </c>
      <c r="F30" s="35">
        <v>0</v>
      </c>
      <c r="G30" s="16" t="str">
        <f t="shared" si="0"/>
        <v>fixed</v>
      </c>
      <c r="H30" s="16" t="str">
        <f t="shared" si="1"/>
        <v>no</v>
      </c>
      <c r="I30">
        <v>0</v>
      </c>
      <c r="J30">
        <v>0</v>
      </c>
      <c r="K30" s="51"/>
      <c r="L30" s="51"/>
    </row>
    <row r="31" spans="1:24" x14ac:dyDescent="0.2">
      <c r="A31">
        <v>16</v>
      </c>
      <c r="B31" s="8" t="s">
        <v>8</v>
      </c>
      <c r="C31" s="8" t="s">
        <v>8</v>
      </c>
      <c r="E31" t="s">
        <v>812</v>
      </c>
      <c r="F31" s="35">
        <v>0</v>
      </c>
      <c r="G31" s="16" t="str">
        <f t="shared" si="0"/>
        <v>fixed</v>
      </c>
      <c r="H31" s="16" t="str">
        <f t="shared" si="1"/>
        <v>no</v>
      </c>
      <c r="I31">
        <v>0</v>
      </c>
      <c r="J31">
        <v>0</v>
      </c>
      <c r="K31" s="51"/>
      <c r="L31" s="51"/>
    </row>
    <row r="32" spans="1:24" x14ac:dyDescent="0.2">
      <c r="A32">
        <v>17</v>
      </c>
      <c r="B32" s="8" t="s">
        <v>8</v>
      </c>
      <c r="C32" s="8" t="s">
        <v>8</v>
      </c>
      <c r="E32" t="s">
        <v>813</v>
      </c>
      <c r="F32" s="35">
        <v>0</v>
      </c>
      <c r="G32" s="16" t="str">
        <f t="shared" si="0"/>
        <v>fixed</v>
      </c>
      <c r="H32" s="16" t="str">
        <f t="shared" si="1"/>
        <v>no</v>
      </c>
      <c r="I32">
        <v>0</v>
      </c>
      <c r="J32">
        <v>0</v>
      </c>
      <c r="K32" s="51"/>
      <c r="L32" s="51"/>
    </row>
    <row r="33" spans="1:12" x14ac:dyDescent="0.2">
      <c r="A33">
        <v>18</v>
      </c>
      <c r="B33" s="8" t="s">
        <v>8</v>
      </c>
      <c r="C33" s="8" t="s">
        <v>8</v>
      </c>
      <c r="E33" t="s">
        <v>814</v>
      </c>
      <c r="F33" s="35">
        <v>0</v>
      </c>
      <c r="G33" s="16" t="str">
        <f t="shared" si="0"/>
        <v>fixed</v>
      </c>
      <c r="H33" s="16" t="str">
        <f t="shared" si="1"/>
        <v>no</v>
      </c>
      <c r="I33">
        <v>0</v>
      </c>
      <c r="J33">
        <v>0</v>
      </c>
      <c r="K33" s="51"/>
      <c r="L33" s="51"/>
    </row>
    <row r="34" spans="1:12" x14ac:dyDescent="0.2">
      <c r="A34">
        <v>19</v>
      </c>
      <c r="B34" s="8" t="s">
        <v>8</v>
      </c>
      <c r="C34" s="8" t="s">
        <v>8</v>
      </c>
      <c r="E34" t="s">
        <v>815</v>
      </c>
      <c r="F34" s="35">
        <v>0</v>
      </c>
      <c r="G34" s="16" t="str">
        <f t="shared" si="0"/>
        <v>fixed</v>
      </c>
      <c r="H34" s="16" t="str">
        <f t="shared" si="1"/>
        <v>no</v>
      </c>
      <c r="I34">
        <v>0</v>
      </c>
      <c r="J34">
        <v>0</v>
      </c>
      <c r="K34" s="51"/>
      <c r="L34" s="51"/>
    </row>
    <row r="35" spans="1:12" x14ac:dyDescent="0.2">
      <c r="A35">
        <v>20</v>
      </c>
      <c r="B35" s="8" t="s">
        <v>8</v>
      </c>
      <c r="C35" s="8" t="s">
        <v>8</v>
      </c>
      <c r="E35" t="s">
        <v>816</v>
      </c>
      <c r="F35" s="35">
        <v>0</v>
      </c>
      <c r="G35" s="16" t="str">
        <f t="shared" si="0"/>
        <v>fixed</v>
      </c>
      <c r="H35" s="16" t="str">
        <f t="shared" si="1"/>
        <v>no</v>
      </c>
      <c r="I35">
        <v>0</v>
      </c>
      <c r="J35">
        <v>0</v>
      </c>
      <c r="K35" s="51"/>
      <c r="L35" s="51"/>
    </row>
    <row r="36" spans="1:12" x14ac:dyDescent="0.2">
      <c r="A36">
        <v>21</v>
      </c>
      <c r="B36" s="8" t="s">
        <v>8</v>
      </c>
      <c r="C36" s="8" t="s">
        <v>8</v>
      </c>
      <c r="E36" t="s">
        <v>817</v>
      </c>
      <c r="F36" s="35">
        <v>0</v>
      </c>
      <c r="G36" s="16" t="str">
        <f t="shared" si="0"/>
        <v>fixed</v>
      </c>
      <c r="H36" s="16" t="str">
        <f t="shared" si="1"/>
        <v>no</v>
      </c>
      <c r="I36">
        <v>0</v>
      </c>
      <c r="J36">
        <v>0</v>
      </c>
      <c r="K36" s="51"/>
      <c r="L36" s="51"/>
    </row>
    <row r="37" spans="1:12" x14ac:dyDescent="0.2">
      <c r="A37">
        <v>22</v>
      </c>
      <c r="B37" s="8" t="s">
        <v>8</v>
      </c>
      <c r="C37" s="8" t="s">
        <v>8</v>
      </c>
      <c r="E37" t="s">
        <v>818</v>
      </c>
      <c r="F37" s="35">
        <v>0</v>
      </c>
      <c r="G37" s="16" t="str">
        <f t="shared" si="0"/>
        <v>fixed</v>
      </c>
      <c r="H37" s="16" t="str">
        <f t="shared" si="1"/>
        <v>no</v>
      </c>
      <c r="I37">
        <v>0</v>
      </c>
      <c r="J37">
        <v>0</v>
      </c>
      <c r="K37" s="51"/>
      <c r="L37" s="51"/>
    </row>
    <row r="38" spans="1:12" x14ac:dyDescent="0.2">
      <c r="A38">
        <v>23</v>
      </c>
      <c r="B38" s="8" t="s">
        <v>8</v>
      </c>
      <c r="C38" s="8" t="s">
        <v>8</v>
      </c>
      <c r="E38" t="s">
        <v>819</v>
      </c>
      <c r="F38" s="35">
        <v>0</v>
      </c>
      <c r="G38" s="16" t="str">
        <f t="shared" si="0"/>
        <v>fixed</v>
      </c>
      <c r="H38" s="16" t="str">
        <f t="shared" si="1"/>
        <v>no</v>
      </c>
      <c r="I38">
        <v>0</v>
      </c>
      <c r="J38">
        <v>0</v>
      </c>
      <c r="K38" s="51"/>
      <c r="L38" s="51"/>
    </row>
    <row r="39" spans="1:12" x14ac:dyDescent="0.2">
      <c r="A39">
        <v>24</v>
      </c>
      <c r="B39" s="8" t="s">
        <v>8</v>
      </c>
      <c r="C39" s="8" t="s">
        <v>8</v>
      </c>
      <c r="E39" t="s">
        <v>820</v>
      </c>
      <c r="F39" s="35">
        <v>0</v>
      </c>
      <c r="G39" s="16" t="str">
        <f t="shared" si="0"/>
        <v>fixed</v>
      </c>
      <c r="H39" s="16" t="str">
        <f t="shared" si="1"/>
        <v>no</v>
      </c>
      <c r="I39">
        <v>0</v>
      </c>
      <c r="J39">
        <v>0</v>
      </c>
      <c r="K39" s="51"/>
      <c r="L39" s="51"/>
    </row>
    <row r="40" spans="1:12" x14ac:dyDescent="0.2">
      <c r="A40">
        <v>25</v>
      </c>
      <c r="B40" s="8" t="s">
        <v>8</v>
      </c>
      <c r="C40" s="8" t="s">
        <v>8</v>
      </c>
      <c r="E40" t="s">
        <v>821</v>
      </c>
      <c r="F40" s="35">
        <v>0</v>
      </c>
      <c r="G40" s="16" t="str">
        <f t="shared" si="0"/>
        <v>fixed</v>
      </c>
      <c r="H40" s="16" t="str">
        <f t="shared" si="1"/>
        <v>no</v>
      </c>
      <c r="I40">
        <v>0</v>
      </c>
      <c r="J40">
        <v>0</v>
      </c>
      <c r="K40" s="51"/>
      <c r="L40" s="51"/>
    </row>
    <row r="41" spans="1:12" x14ac:dyDescent="0.2">
      <c r="A41">
        <v>26</v>
      </c>
      <c r="B41" s="8" t="s">
        <v>8</v>
      </c>
      <c r="C41" s="8" t="s">
        <v>8</v>
      </c>
      <c r="E41" t="s">
        <v>822</v>
      </c>
      <c r="F41" s="35">
        <v>0</v>
      </c>
      <c r="G41" s="16" t="str">
        <f t="shared" si="0"/>
        <v>fixed</v>
      </c>
      <c r="H41" s="16" t="str">
        <f t="shared" si="1"/>
        <v>no</v>
      </c>
      <c r="I41">
        <v>0</v>
      </c>
      <c r="J41">
        <v>0</v>
      </c>
      <c r="K41" s="51"/>
      <c r="L41" s="51"/>
    </row>
    <row r="42" spans="1:12" x14ac:dyDescent="0.2">
      <c r="A42">
        <v>27</v>
      </c>
      <c r="B42" s="8" t="s">
        <v>8</v>
      </c>
      <c r="C42" s="8" t="s">
        <v>8</v>
      </c>
      <c r="E42" t="s">
        <v>823</v>
      </c>
      <c r="F42" s="35">
        <v>0</v>
      </c>
      <c r="G42" s="16" t="str">
        <f t="shared" si="0"/>
        <v>fixed</v>
      </c>
      <c r="H42" s="16" t="str">
        <f t="shared" si="1"/>
        <v>no</v>
      </c>
      <c r="I42">
        <v>0</v>
      </c>
      <c r="J42">
        <v>0</v>
      </c>
      <c r="K42" s="51"/>
      <c r="L42" s="51"/>
    </row>
    <row r="43" spans="1:12" x14ac:dyDescent="0.2">
      <c r="A43">
        <v>28</v>
      </c>
      <c r="B43" s="8" t="s">
        <v>8</v>
      </c>
      <c r="C43" s="8" t="s">
        <v>8</v>
      </c>
      <c r="E43" t="s">
        <v>824</v>
      </c>
      <c r="F43" s="35">
        <v>0</v>
      </c>
      <c r="G43" s="16" t="str">
        <f t="shared" si="0"/>
        <v>fixed</v>
      </c>
      <c r="H43" s="16" t="str">
        <f t="shared" si="1"/>
        <v>no</v>
      </c>
      <c r="I43">
        <v>0</v>
      </c>
      <c r="J43">
        <v>0</v>
      </c>
      <c r="K43" s="51"/>
      <c r="L43" s="51"/>
    </row>
    <row r="44" spans="1:12" x14ac:dyDescent="0.2">
      <c r="A44">
        <v>29</v>
      </c>
      <c r="B44" s="8" t="s">
        <v>8</v>
      </c>
      <c r="C44" s="8" t="s">
        <v>8</v>
      </c>
      <c r="E44" t="s">
        <v>825</v>
      </c>
      <c r="F44" s="35">
        <v>0</v>
      </c>
      <c r="G44" s="16" t="str">
        <f t="shared" si="0"/>
        <v>fixed</v>
      </c>
      <c r="H44" s="16" t="str">
        <f t="shared" si="1"/>
        <v>no</v>
      </c>
      <c r="I44">
        <v>0</v>
      </c>
      <c r="J44">
        <v>0</v>
      </c>
      <c r="K44" s="51"/>
      <c r="L44" s="51"/>
    </row>
    <row r="45" spans="1:12" x14ac:dyDescent="0.2">
      <c r="A45">
        <v>30</v>
      </c>
      <c r="B45" s="8" t="s">
        <v>8</v>
      </c>
      <c r="C45" s="8" t="s">
        <v>8</v>
      </c>
      <c r="E45" t="s">
        <v>826</v>
      </c>
      <c r="F45" s="35">
        <v>0</v>
      </c>
      <c r="G45" s="16" t="str">
        <f t="shared" si="0"/>
        <v>fixed</v>
      </c>
      <c r="H45" s="16" t="str">
        <f t="shared" si="1"/>
        <v>no</v>
      </c>
      <c r="I45">
        <v>0</v>
      </c>
      <c r="J45">
        <v>0</v>
      </c>
      <c r="K45" s="51"/>
      <c r="L45" s="51"/>
    </row>
    <row r="46" spans="1:12" x14ac:dyDescent="0.2">
      <c r="A46">
        <v>31</v>
      </c>
      <c r="B46" s="8" t="s">
        <v>8</v>
      </c>
      <c r="C46" s="8" t="s">
        <v>8</v>
      </c>
      <c r="E46" t="s">
        <v>827</v>
      </c>
      <c r="F46" s="35">
        <v>0</v>
      </c>
      <c r="G46" s="16" t="str">
        <f t="shared" si="0"/>
        <v>fixed</v>
      </c>
      <c r="H46" s="16" t="str">
        <f t="shared" si="1"/>
        <v>no</v>
      </c>
      <c r="I46">
        <v>0</v>
      </c>
      <c r="J46">
        <v>0</v>
      </c>
      <c r="K46" s="51"/>
      <c r="L46" s="51"/>
    </row>
    <row r="47" spans="1:12" x14ac:dyDescent="0.2">
      <c r="A47">
        <v>32</v>
      </c>
      <c r="B47" s="8" t="s">
        <v>8</v>
      </c>
      <c r="C47" s="8" t="s">
        <v>8</v>
      </c>
      <c r="E47" t="s">
        <v>828</v>
      </c>
      <c r="F47" s="35">
        <v>0</v>
      </c>
      <c r="G47" s="16" t="str">
        <f t="shared" si="0"/>
        <v>fixed</v>
      </c>
      <c r="H47" s="16" t="str">
        <f t="shared" si="1"/>
        <v>no</v>
      </c>
      <c r="I47">
        <v>0</v>
      </c>
      <c r="J47">
        <v>0</v>
      </c>
      <c r="K47" s="51"/>
      <c r="L47" s="51"/>
    </row>
    <row r="48" spans="1:12" x14ac:dyDescent="0.2">
      <c r="A48">
        <v>33</v>
      </c>
      <c r="B48" s="8" t="s">
        <v>8</v>
      </c>
      <c r="C48" s="8" t="s">
        <v>8</v>
      </c>
      <c r="E48" t="s">
        <v>829</v>
      </c>
      <c r="F48" s="35">
        <v>0</v>
      </c>
      <c r="G48" s="16" t="str">
        <f t="shared" si="0"/>
        <v>fixed</v>
      </c>
      <c r="H48" s="16" t="str">
        <f t="shared" si="1"/>
        <v>no</v>
      </c>
      <c r="I48">
        <v>0</v>
      </c>
      <c r="J48">
        <v>0</v>
      </c>
      <c r="K48" s="51"/>
      <c r="L48" s="51"/>
    </row>
    <row r="49" spans="1:15" x14ac:dyDescent="0.2">
      <c r="A49">
        <v>34</v>
      </c>
      <c r="B49" s="8" t="s">
        <v>8</v>
      </c>
      <c r="C49" s="8" t="s">
        <v>8</v>
      </c>
      <c r="E49" t="s">
        <v>830</v>
      </c>
      <c r="F49" s="35">
        <v>0</v>
      </c>
      <c r="G49" s="16" t="str">
        <f t="shared" si="0"/>
        <v>fixed</v>
      </c>
      <c r="H49" s="16" t="str">
        <f t="shared" si="1"/>
        <v>no</v>
      </c>
      <c r="I49">
        <v>0</v>
      </c>
      <c r="J49">
        <v>0</v>
      </c>
      <c r="K49" s="51"/>
      <c r="L49" s="51"/>
      <c r="O49" s="46"/>
    </row>
    <row r="50" spans="1:15" x14ac:dyDescent="0.2">
      <c r="A50">
        <v>35</v>
      </c>
      <c r="B50" s="8" t="s">
        <v>8</v>
      </c>
      <c r="C50" s="8" t="s">
        <v>8</v>
      </c>
      <c r="E50" t="s">
        <v>831</v>
      </c>
      <c r="F50" s="35">
        <v>0</v>
      </c>
      <c r="G50" s="16" t="str">
        <f t="shared" si="0"/>
        <v>fixed</v>
      </c>
      <c r="H50" s="16" t="str">
        <f t="shared" si="1"/>
        <v>no</v>
      </c>
      <c r="I50">
        <v>0</v>
      </c>
      <c r="J50">
        <v>0</v>
      </c>
      <c r="K50" s="51"/>
      <c r="L50" s="51"/>
    </row>
    <row r="51" spans="1:15" x14ac:dyDescent="0.2">
      <c r="A51">
        <v>36</v>
      </c>
      <c r="B51" s="8" t="s">
        <v>8</v>
      </c>
      <c r="C51" s="8" t="s">
        <v>8</v>
      </c>
      <c r="E51" t="s">
        <v>832</v>
      </c>
      <c r="F51" s="35">
        <v>0</v>
      </c>
      <c r="G51" s="16" t="str">
        <f t="shared" si="0"/>
        <v>fixed</v>
      </c>
      <c r="H51" s="16" t="str">
        <f t="shared" si="1"/>
        <v>no</v>
      </c>
      <c r="I51">
        <v>0</v>
      </c>
      <c r="J51">
        <v>0</v>
      </c>
      <c r="K51" s="51"/>
      <c r="L51" s="51"/>
    </row>
    <row r="52" spans="1:15" x14ac:dyDescent="0.2">
      <c r="A52">
        <v>37</v>
      </c>
      <c r="B52" s="8" t="s">
        <v>8</v>
      </c>
      <c r="C52" s="8" t="s">
        <v>8</v>
      </c>
      <c r="E52" t="s">
        <v>833</v>
      </c>
      <c r="F52" s="35">
        <v>0</v>
      </c>
      <c r="G52" s="16" t="str">
        <f t="shared" si="0"/>
        <v>fixed</v>
      </c>
      <c r="H52" s="16" t="str">
        <f t="shared" si="1"/>
        <v>no</v>
      </c>
      <c r="I52">
        <v>0</v>
      </c>
      <c r="J52">
        <v>0</v>
      </c>
      <c r="K52" s="51"/>
      <c r="L52" s="51"/>
    </row>
    <row r="53" spans="1:15" x14ac:dyDescent="0.2">
      <c r="A53">
        <v>38</v>
      </c>
      <c r="B53" s="8" t="s">
        <v>8</v>
      </c>
      <c r="C53" s="8" t="s">
        <v>8</v>
      </c>
      <c r="E53" t="s">
        <v>834</v>
      </c>
      <c r="F53" s="35">
        <v>0</v>
      </c>
      <c r="G53" s="16" t="str">
        <f t="shared" si="0"/>
        <v>fixed</v>
      </c>
      <c r="H53" s="16" t="str">
        <f t="shared" si="1"/>
        <v>no</v>
      </c>
      <c r="I53">
        <v>0</v>
      </c>
      <c r="J53">
        <v>0</v>
      </c>
      <c r="K53" s="51"/>
      <c r="L53" s="51"/>
    </row>
    <row r="54" spans="1:15" x14ac:dyDescent="0.2">
      <c r="A54">
        <v>39</v>
      </c>
      <c r="B54" s="8" t="s">
        <v>8</v>
      </c>
      <c r="C54" s="8" t="s">
        <v>8</v>
      </c>
      <c r="E54" t="s">
        <v>835</v>
      </c>
      <c r="F54" s="35">
        <v>0</v>
      </c>
      <c r="G54" s="16" t="str">
        <f t="shared" si="0"/>
        <v>fixed</v>
      </c>
      <c r="H54" s="16" t="str">
        <f t="shared" si="1"/>
        <v>no</v>
      </c>
      <c r="I54">
        <v>0</v>
      </c>
      <c r="J54">
        <v>0</v>
      </c>
      <c r="K54" s="51"/>
      <c r="L54" s="51"/>
    </row>
    <row r="55" spans="1:15" x14ac:dyDescent="0.2">
      <c r="A55">
        <v>40</v>
      </c>
      <c r="B55" s="8" t="s">
        <v>8</v>
      </c>
      <c r="C55" s="8" t="s">
        <v>8</v>
      </c>
      <c r="E55" t="s">
        <v>836</v>
      </c>
      <c r="F55" s="35">
        <v>0</v>
      </c>
      <c r="G55" s="16" t="str">
        <f t="shared" si="0"/>
        <v>fixed</v>
      </c>
      <c r="H55" s="16" t="str">
        <f t="shared" si="1"/>
        <v>no</v>
      </c>
      <c r="I55">
        <v>0</v>
      </c>
      <c r="J55">
        <v>0</v>
      </c>
      <c r="K55" s="51"/>
      <c r="L55" s="51"/>
    </row>
    <row r="56" spans="1:15" x14ac:dyDescent="0.2">
      <c r="A56">
        <v>41</v>
      </c>
      <c r="B56" s="8" t="s">
        <v>8</v>
      </c>
      <c r="C56" s="8" t="s">
        <v>8</v>
      </c>
      <c r="E56" t="s">
        <v>837</v>
      </c>
      <c r="F56" s="35">
        <v>0</v>
      </c>
      <c r="G56" s="16" t="str">
        <f t="shared" si="0"/>
        <v>fixed</v>
      </c>
      <c r="H56" s="16" t="str">
        <f t="shared" si="1"/>
        <v>no</v>
      </c>
      <c r="I56">
        <v>0</v>
      </c>
      <c r="J56">
        <v>0</v>
      </c>
      <c r="K56" s="51"/>
      <c r="L56" s="51"/>
    </row>
    <row r="57" spans="1:15" x14ac:dyDescent="0.2">
      <c r="A57">
        <v>42</v>
      </c>
      <c r="B57" s="8" t="s">
        <v>8</v>
      </c>
      <c r="C57" s="8" t="s">
        <v>8</v>
      </c>
      <c r="E57" t="s">
        <v>838</v>
      </c>
      <c r="F57" s="35">
        <v>0</v>
      </c>
      <c r="G57" s="16" t="str">
        <f t="shared" si="0"/>
        <v>fixed</v>
      </c>
      <c r="H57" s="16" t="str">
        <f t="shared" si="1"/>
        <v>no</v>
      </c>
      <c r="I57">
        <v>0</v>
      </c>
      <c r="J57">
        <v>0</v>
      </c>
      <c r="K57" s="51"/>
      <c r="L57" s="51"/>
    </row>
    <row r="58" spans="1:15" x14ac:dyDescent="0.2">
      <c r="A58">
        <v>43</v>
      </c>
      <c r="B58" s="8" t="s">
        <v>8</v>
      </c>
      <c r="C58" s="8" t="s">
        <v>8</v>
      </c>
      <c r="E58" t="s">
        <v>839</v>
      </c>
      <c r="F58" s="35">
        <v>0</v>
      </c>
      <c r="G58" s="16" t="str">
        <f t="shared" si="0"/>
        <v>fixed</v>
      </c>
      <c r="H58" s="16" t="str">
        <f t="shared" si="1"/>
        <v>no</v>
      </c>
      <c r="I58">
        <v>0</v>
      </c>
      <c r="J58">
        <v>0</v>
      </c>
      <c r="K58" s="51"/>
      <c r="L58" s="51"/>
    </row>
    <row r="59" spans="1:15" x14ac:dyDescent="0.2">
      <c r="A59">
        <v>44</v>
      </c>
      <c r="B59" s="8" t="s">
        <v>8</v>
      </c>
      <c r="C59" s="8" t="s">
        <v>8</v>
      </c>
      <c r="E59" t="s">
        <v>840</v>
      </c>
      <c r="F59" s="35">
        <v>0</v>
      </c>
      <c r="G59" s="16" t="str">
        <f t="shared" si="0"/>
        <v>fixed</v>
      </c>
      <c r="H59" s="16" t="str">
        <f t="shared" si="1"/>
        <v>no</v>
      </c>
      <c r="I59">
        <v>0</v>
      </c>
      <c r="J59">
        <v>0</v>
      </c>
      <c r="K59" s="51"/>
      <c r="L59" s="51"/>
    </row>
    <row r="60" spans="1:15" x14ac:dyDescent="0.2">
      <c r="A60">
        <v>45</v>
      </c>
      <c r="B60" s="8" t="s">
        <v>8</v>
      </c>
      <c r="C60" s="8" t="s">
        <v>8</v>
      </c>
      <c r="E60" t="s">
        <v>841</v>
      </c>
      <c r="F60" s="35">
        <v>0</v>
      </c>
      <c r="G60" s="16" t="str">
        <f t="shared" si="0"/>
        <v>fixed</v>
      </c>
      <c r="H60" s="16" t="str">
        <f t="shared" si="1"/>
        <v>no</v>
      </c>
      <c r="I60">
        <v>0</v>
      </c>
      <c r="J60">
        <v>0</v>
      </c>
      <c r="K60" s="51"/>
      <c r="L60" s="51"/>
    </row>
    <row r="61" spans="1:15" x14ac:dyDescent="0.2">
      <c r="A61">
        <v>46</v>
      </c>
      <c r="B61" s="8" t="s">
        <v>8</v>
      </c>
      <c r="C61" s="8" t="s">
        <v>8</v>
      </c>
      <c r="E61" t="s">
        <v>842</v>
      </c>
      <c r="F61" s="35">
        <v>0</v>
      </c>
      <c r="G61" s="16" t="str">
        <f t="shared" si="0"/>
        <v>fixed</v>
      </c>
      <c r="H61" s="16" t="str">
        <f t="shared" si="1"/>
        <v>no</v>
      </c>
      <c r="I61">
        <v>0</v>
      </c>
      <c r="J61">
        <v>0</v>
      </c>
      <c r="K61" s="51"/>
      <c r="L61" s="51"/>
    </row>
    <row r="62" spans="1:15" x14ac:dyDescent="0.2">
      <c r="A62">
        <v>47</v>
      </c>
      <c r="B62" s="8" t="s">
        <v>8</v>
      </c>
      <c r="C62" s="8" t="s">
        <v>8</v>
      </c>
      <c r="E62" t="s">
        <v>843</v>
      </c>
      <c r="F62" s="35">
        <v>0</v>
      </c>
      <c r="G62" s="16" t="str">
        <f t="shared" si="0"/>
        <v>fixed</v>
      </c>
      <c r="H62" s="16" t="str">
        <f t="shared" si="1"/>
        <v>no</v>
      </c>
      <c r="I62">
        <v>0</v>
      </c>
      <c r="J62">
        <v>0</v>
      </c>
      <c r="K62" s="51"/>
      <c r="L62" s="51"/>
    </row>
    <row r="63" spans="1:15" x14ac:dyDescent="0.2">
      <c r="A63">
        <v>48</v>
      </c>
      <c r="B63" s="8" t="s">
        <v>8</v>
      </c>
      <c r="C63" s="8" t="s">
        <v>8</v>
      </c>
      <c r="E63" t="s">
        <v>844</v>
      </c>
      <c r="F63" s="35">
        <v>0</v>
      </c>
      <c r="G63" s="16" t="str">
        <f t="shared" si="0"/>
        <v>fixed</v>
      </c>
      <c r="H63" s="16" t="str">
        <f t="shared" si="1"/>
        <v>no</v>
      </c>
      <c r="I63">
        <v>0</v>
      </c>
      <c r="J63">
        <v>0</v>
      </c>
      <c r="K63" s="51"/>
      <c r="L63" s="51"/>
    </row>
    <row r="64" spans="1:15" x14ac:dyDescent="0.2">
      <c r="A64">
        <v>49</v>
      </c>
      <c r="B64" s="8" t="s">
        <v>8</v>
      </c>
      <c r="C64" s="8" t="s">
        <v>8</v>
      </c>
      <c r="E64" t="s">
        <v>845</v>
      </c>
      <c r="F64" s="35">
        <v>0</v>
      </c>
      <c r="G64" s="16" t="str">
        <f t="shared" si="0"/>
        <v>fixed</v>
      </c>
      <c r="H64" s="16" t="str">
        <f t="shared" si="1"/>
        <v>no</v>
      </c>
      <c r="I64">
        <v>0</v>
      </c>
      <c r="J64">
        <v>0</v>
      </c>
      <c r="K64" s="51"/>
      <c r="L64" s="51"/>
    </row>
    <row r="65" spans="1:12" x14ac:dyDescent="0.2">
      <c r="A65">
        <v>50</v>
      </c>
      <c r="B65" s="8" t="s">
        <v>8</v>
      </c>
      <c r="C65" s="8" t="s">
        <v>8</v>
      </c>
      <c r="E65" t="s">
        <v>846</v>
      </c>
      <c r="F65" s="35">
        <v>0</v>
      </c>
      <c r="G65" s="16" t="str">
        <f>IF(I65=J65,"fixed",IF(I65=0,"fixed","uniform"))</f>
        <v>fixed</v>
      </c>
      <c r="H65" s="16" t="str">
        <f t="shared" si="1"/>
        <v>no</v>
      </c>
      <c r="I65">
        <v>0</v>
      </c>
      <c r="J65">
        <v>0</v>
      </c>
      <c r="K65" s="51"/>
      <c r="L65" s="51"/>
    </row>
    <row r="66" spans="1:12" x14ac:dyDescent="0.2">
      <c r="A66">
        <v>51</v>
      </c>
      <c r="B66" s="8" t="s">
        <v>8</v>
      </c>
      <c r="C66" s="8" t="s">
        <v>8</v>
      </c>
      <c r="E66" t="s">
        <v>847</v>
      </c>
      <c r="F66" s="35">
        <v>0</v>
      </c>
      <c r="G66" s="16" t="str">
        <f t="shared" ref="G66:G129" si="2">IF(I66=J66,"fixed",IF(I66=0,"fixed","uniform"))</f>
        <v>fixed</v>
      </c>
      <c r="H66" s="16" t="str">
        <f t="shared" si="1"/>
        <v>no</v>
      </c>
      <c r="I66">
        <v>0</v>
      </c>
      <c r="J66">
        <v>0</v>
      </c>
      <c r="K66" s="51"/>
      <c r="L66" s="51"/>
    </row>
    <row r="67" spans="1:12" x14ac:dyDescent="0.2">
      <c r="A67">
        <v>52</v>
      </c>
      <c r="B67" s="8" t="s">
        <v>8</v>
      </c>
      <c r="C67" s="8" t="s">
        <v>8</v>
      </c>
      <c r="E67" t="s">
        <v>848</v>
      </c>
      <c r="F67" s="35">
        <v>0</v>
      </c>
      <c r="G67" s="16" t="str">
        <f t="shared" si="2"/>
        <v>fixed</v>
      </c>
      <c r="H67" s="16" t="str">
        <f t="shared" si="1"/>
        <v>no</v>
      </c>
      <c r="I67">
        <v>0</v>
      </c>
      <c r="J67">
        <v>0</v>
      </c>
      <c r="K67" s="51"/>
      <c r="L67" s="51"/>
    </row>
    <row r="68" spans="1:12" x14ac:dyDescent="0.2">
      <c r="A68">
        <v>53</v>
      </c>
      <c r="B68" s="8" t="s">
        <v>8</v>
      </c>
      <c r="C68" s="8" t="s">
        <v>8</v>
      </c>
      <c r="E68" t="s">
        <v>849</v>
      </c>
      <c r="F68" s="35">
        <v>0</v>
      </c>
      <c r="G68" s="16" t="str">
        <f t="shared" si="2"/>
        <v>fixed</v>
      </c>
      <c r="H68" s="16" t="str">
        <f t="shared" si="1"/>
        <v>no</v>
      </c>
      <c r="I68">
        <v>0</v>
      </c>
      <c r="J68">
        <v>0</v>
      </c>
      <c r="K68" s="51"/>
      <c r="L68" s="51"/>
    </row>
    <row r="69" spans="1:12" x14ac:dyDescent="0.2">
      <c r="A69">
        <v>54</v>
      </c>
      <c r="B69" s="8" t="s">
        <v>8</v>
      </c>
      <c r="C69" s="8" t="s">
        <v>8</v>
      </c>
      <c r="E69" t="s">
        <v>850</v>
      </c>
      <c r="F69" s="35">
        <v>0</v>
      </c>
      <c r="G69" s="16" t="str">
        <f t="shared" si="2"/>
        <v>fixed</v>
      </c>
      <c r="H69" s="16" t="str">
        <f t="shared" si="1"/>
        <v>no</v>
      </c>
      <c r="I69">
        <v>0</v>
      </c>
      <c r="J69">
        <v>0</v>
      </c>
      <c r="K69" s="51"/>
      <c r="L69" s="51"/>
    </row>
    <row r="70" spans="1:12" x14ac:dyDescent="0.2">
      <c r="A70">
        <v>55</v>
      </c>
      <c r="B70" s="8" t="s">
        <v>8</v>
      </c>
      <c r="C70" s="8" t="s">
        <v>8</v>
      </c>
      <c r="E70" t="s">
        <v>851</v>
      </c>
      <c r="F70" s="35">
        <v>0</v>
      </c>
      <c r="G70" s="16" t="str">
        <f t="shared" si="2"/>
        <v>fixed</v>
      </c>
      <c r="H70" s="16" t="str">
        <f t="shared" si="1"/>
        <v>no</v>
      </c>
      <c r="I70">
        <v>0</v>
      </c>
      <c r="J70">
        <v>0</v>
      </c>
      <c r="K70" s="51"/>
      <c r="L70" s="51"/>
    </row>
    <row r="71" spans="1:12" x14ac:dyDescent="0.2">
      <c r="A71">
        <v>56</v>
      </c>
      <c r="B71" s="8" t="s">
        <v>8</v>
      </c>
      <c r="C71" s="8" t="s">
        <v>8</v>
      </c>
      <c r="E71" t="s">
        <v>852</v>
      </c>
      <c r="F71" s="35">
        <v>0</v>
      </c>
      <c r="G71" s="16" t="str">
        <f t="shared" si="2"/>
        <v>fixed</v>
      </c>
      <c r="H71" s="16" t="str">
        <f t="shared" si="1"/>
        <v>no</v>
      </c>
      <c r="I71">
        <v>0</v>
      </c>
      <c r="J71">
        <v>0</v>
      </c>
      <c r="K71" s="51"/>
      <c r="L71" s="51"/>
    </row>
    <row r="72" spans="1:12" x14ac:dyDescent="0.2">
      <c r="A72">
        <v>57</v>
      </c>
      <c r="B72" s="8" t="s">
        <v>8</v>
      </c>
      <c r="C72" s="8" t="s">
        <v>8</v>
      </c>
      <c r="E72" t="s">
        <v>853</v>
      </c>
      <c r="F72" s="35">
        <v>0</v>
      </c>
      <c r="G72" s="16" t="str">
        <f t="shared" si="2"/>
        <v>fixed</v>
      </c>
      <c r="H72" s="16" t="str">
        <f t="shared" si="1"/>
        <v>no</v>
      </c>
      <c r="I72">
        <v>0</v>
      </c>
      <c r="J72">
        <v>0</v>
      </c>
      <c r="K72" s="51"/>
      <c r="L72" s="51"/>
    </row>
    <row r="73" spans="1:12" x14ac:dyDescent="0.2">
      <c r="A73">
        <v>58</v>
      </c>
      <c r="B73" s="8" t="s">
        <v>8</v>
      </c>
      <c r="C73" s="8" t="s">
        <v>8</v>
      </c>
      <c r="E73" t="s">
        <v>854</v>
      </c>
      <c r="F73" s="35">
        <v>0</v>
      </c>
      <c r="G73" s="16" t="str">
        <f t="shared" si="2"/>
        <v>fixed</v>
      </c>
      <c r="H73" s="16" t="str">
        <f t="shared" si="1"/>
        <v>no</v>
      </c>
      <c r="I73">
        <v>0</v>
      </c>
      <c r="J73">
        <v>0</v>
      </c>
      <c r="K73" s="51"/>
      <c r="L73" s="51"/>
    </row>
    <row r="74" spans="1:12" x14ac:dyDescent="0.2">
      <c r="A74">
        <v>59</v>
      </c>
      <c r="B74" s="8" t="s">
        <v>8</v>
      </c>
      <c r="C74" s="8" t="s">
        <v>8</v>
      </c>
      <c r="E74" t="s">
        <v>855</v>
      </c>
      <c r="F74" s="35">
        <v>0</v>
      </c>
      <c r="G74" s="16" t="str">
        <f t="shared" si="2"/>
        <v>fixed</v>
      </c>
      <c r="H74" s="16" t="str">
        <f t="shared" si="1"/>
        <v>no</v>
      </c>
      <c r="I74">
        <v>0</v>
      </c>
      <c r="J74">
        <v>0</v>
      </c>
      <c r="K74" s="51"/>
      <c r="L74" s="51"/>
    </row>
    <row r="75" spans="1:12" x14ac:dyDescent="0.2">
      <c r="A75">
        <v>60</v>
      </c>
      <c r="B75" s="8" t="s">
        <v>8</v>
      </c>
      <c r="C75" s="8" t="s">
        <v>8</v>
      </c>
      <c r="E75" t="s">
        <v>856</v>
      </c>
      <c r="F75" s="35">
        <v>0</v>
      </c>
      <c r="G75" s="16" t="str">
        <f t="shared" si="2"/>
        <v>fixed</v>
      </c>
      <c r="H75" s="16" t="str">
        <f t="shared" si="1"/>
        <v>no</v>
      </c>
      <c r="I75">
        <v>0</v>
      </c>
      <c r="J75">
        <v>0</v>
      </c>
      <c r="K75" s="51"/>
      <c r="L75" s="51"/>
    </row>
    <row r="76" spans="1:12" x14ac:dyDescent="0.2">
      <c r="A76">
        <v>61</v>
      </c>
      <c r="B76" s="8" t="s">
        <v>8</v>
      </c>
      <c r="C76" s="8" t="s">
        <v>8</v>
      </c>
      <c r="E76" t="s">
        <v>857</v>
      </c>
      <c r="F76" s="35">
        <v>0</v>
      </c>
      <c r="G76" s="16" t="str">
        <f t="shared" si="2"/>
        <v>fixed</v>
      </c>
      <c r="H76" s="16" t="str">
        <f t="shared" si="1"/>
        <v>no</v>
      </c>
      <c r="I76">
        <v>0</v>
      </c>
      <c r="J76">
        <v>0</v>
      </c>
      <c r="K76" s="51"/>
      <c r="L76" s="51"/>
    </row>
    <row r="77" spans="1:12" x14ac:dyDescent="0.2">
      <c r="A77">
        <v>62</v>
      </c>
      <c r="B77" s="8" t="s">
        <v>8</v>
      </c>
      <c r="C77" s="8" t="s">
        <v>8</v>
      </c>
      <c r="E77" t="s">
        <v>858</v>
      </c>
      <c r="F77" s="35">
        <v>0</v>
      </c>
      <c r="G77" s="16" t="str">
        <f t="shared" si="2"/>
        <v>fixed</v>
      </c>
      <c r="H77" s="16" t="str">
        <f t="shared" si="1"/>
        <v>no</v>
      </c>
      <c r="I77">
        <v>0</v>
      </c>
      <c r="J77">
        <v>0</v>
      </c>
      <c r="K77" s="51"/>
      <c r="L77" s="51"/>
    </row>
    <row r="78" spans="1:12" x14ac:dyDescent="0.2">
      <c r="A78">
        <v>63</v>
      </c>
      <c r="B78" s="8" t="s">
        <v>8</v>
      </c>
      <c r="C78" s="8" t="s">
        <v>8</v>
      </c>
      <c r="E78" t="s">
        <v>859</v>
      </c>
      <c r="F78" s="35">
        <v>0</v>
      </c>
      <c r="G78" s="16" t="str">
        <f t="shared" si="2"/>
        <v>fixed</v>
      </c>
      <c r="H78" s="16" t="str">
        <f t="shared" si="1"/>
        <v>no</v>
      </c>
      <c r="I78">
        <v>0</v>
      </c>
      <c r="J78">
        <v>0</v>
      </c>
      <c r="K78" s="51"/>
      <c r="L78" s="51"/>
    </row>
    <row r="79" spans="1:12" x14ac:dyDescent="0.2">
      <c r="A79">
        <v>64</v>
      </c>
      <c r="B79" s="8" t="s">
        <v>8</v>
      </c>
      <c r="C79" s="8" t="s">
        <v>8</v>
      </c>
      <c r="E79" t="s">
        <v>860</v>
      </c>
      <c r="F79" s="35">
        <v>0</v>
      </c>
      <c r="G79" s="16" t="str">
        <f t="shared" si="2"/>
        <v>fixed</v>
      </c>
      <c r="H79" s="16" t="str">
        <f t="shared" si="1"/>
        <v>no</v>
      </c>
      <c r="I79">
        <v>0</v>
      </c>
      <c r="J79">
        <v>0</v>
      </c>
      <c r="K79" s="51"/>
      <c r="L79" s="51"/>
    </row>
    <row r="80" spans="1:12" x14ac:dyDescent="0.2">
      <c r="A80">
        <v>65</v>
      </c>
      <c r="B80" s="8" t="s">
        <v>8</v>
      </c>
      <c r="C80" s="8" t="s">
        <v>8</v>
      </c>
      <c r="E80" t="s">
        <v>861</v>
      </c>
      <c r="F80" s="35">
        <v>0</v>
      </c>
      <c r="G80" s="16" t="str">
        <f t="shared" si="2"/>
        <v>fixed</v>
      </c>
      <c r="H80" s="16" t="str">
        <f t="shared" si="1"/>
        <v>no</v>
      </c>
      <c r="I80">
        <v>0</v>
      </c>
      <c r="J80">
        <v>0</v>
      </c>
      <c r="K80" s="51"/>
      <c r="L80" s="51"/>
    </row>
    <row r="81" spans="1:12" x14ac:dyDescent="0.2">
      <c r="A81">
        <v>66</v>
      </c>
      <c r="B81" s="8" t="s">
        <v>8</v>
      </c>
      <c r="C81" s="8" t="s">
        <v>8</v>
      </c>
      <c r="E81" t="s">
        <v>862</v>
      </c>
      <c r="F81" s="35">
        <v>0</v>
      </c>
      <c r="G81" s="16" t="str">
        <f t="shared" si="2"/>
        <v>fixed</v>
      </c>
      <c r="H81" s="16" t="str">
        <f t="shared" ref="H81:H144" si="3">IF(G81="uniform",H$13,"no")</f>
        <v>no</v>
      </c>
      <c r="I81">
        <v>0</v>
      </c>
      <c r="J81">
        <v>0</v>
      </c>
      <c r="K81" s="51"/>
      <c r="L81" s="51"/>
    </row>
    <row r="82" spans="1:12" x14ac:dyDescent="0.2">
      <c r="A82">
        <v>67</v>
      </c>
      <c r="B82" s="8" t="s">
        <v>8</v>
      </c>
      <c r="C82" s="8" t="s">
        <v>8</v>
      </c>
      <c r="E82" t="s">
        <v>863</v>
      </c>
      <c r="F82" s="35">
        <v>0</v>
      </c>
      <c r="G82" s="16" t="str">
        <f t="shared" si="2"/>
        <v>fixed</v>
      </c>
      <c r="H82" s="16" t="str">
        <f t="shared" si="3"/>
        <v>no</v>
      </c>
      <c r="I82">
        <v>0</v>
      </c>
      <c r="J82">
        <v>0</v>
      </c>
      <c r="K82" s="64" t="str">
        <f>IF(F82&lt;&gt;0,J82-I82,"")</f>
        <v/>
      </c>
      <c r="L82" s="51"/>
    </row>
    <row r="83" spans="1:12" x14ac:dyDescent="0.2">
      <c r="A83">
        <v>68</v>
      </c>
      <c r="B83" s="8" t="s">
        <v>8</v>
      </c>
      <c r="C83" s="8" t="s">
        <v>8</v>
      </c>
      <c r="E83" t="s">
        <v>864</v>
      </c>
      <c r="F83" s="35">
        <v>0</v>
      </c>
      <c r="G83" s="16" t="str">
        <f t="shared" si="2"/>
        <v>fixed</v>
      </c>
      <c r="H83" s="16" t="str">
        <f t="shared" si="3"/>
        <v>no</v>
      </c>
      <c r="I83">
        <v>0</v>
      </c>
      <c r="J83">
        <v>0</v>
      </c>
      <c r="K83" s="64" t="str">
        <f t="shared" ref="K83" si="4">IF(F83&lt;&gt;0,J83-I83,"")</f>
        <v/>
      </c>
    </row>
    <row r="84" spans="1:12" x14ac:dyDescent="0.2">
      <c r="A84">
        <v>69</v>
      </c>
      <c r="B84" s="8" t="s">
        <v>8</v>
      </c>
      <c r="C84" s="8" t="s">
        <v>8</v>
      </c>
      <c r="E84" t="s">
        <v>865</v>
      </c>
      <c r="F84" s="35">
        <v>0</v>
      </c>
      <c r="G84" s="16" t="str">
        <f t="shared" si="2"/>
        <v>fixed</v>
      </c>
      <c r="H84" s="16" t="str">
        <f t="shared" si="3"/>
        <v>no</v>
      </c>
      <c r="I84">
        <v>0</v>
      </c>
      <c r="J84">
        <v>0</v>
      </c>
      <c r="K84" s="64" t="str">
        <f>IF(F84&lt;&gt;0,IF(J84-I84&gt;2,J84-I84,""),"")</f>
        <v/>
      </c>
    </row>
    <row r="85" spans="1:12" x14ac:dyDescent="0.2">
      <c r="A85">
        <v>70</v>
      </c>
      <c r="B85" s="8" t="s">
        <v>8</v>
      </c>
      <c r="C85" s="8" t="s">
        <v>8</v>
      </c>
      <c r="E85" t="s">
        <v>866</v>
      </c>
      <c r="F85" s="35">
        <v>0</v>
      </c>
      <c r="G85" s="16" t="str">
        <f t="shared" si="2"/>
        <v>fixed</v>
      </c>
      <c r="H85" s="16" t="str">
        <f t="shared" si="3"/>
        <v>no</v>
      </c>
      <c r="I85">
        <v>0</v>
      </c>
      <c r="J85">
        <v>0</v>
      </c>
      <c r="K85" s="64" t="str">
        <f t="shared" ref="K85:K148" si="5">IF(F85&lt;&gt;0,IF(J85-I85&gt;2,J85-I85,""),"")</f>
        <v/>
      </c>
    </row>
    <row r="86" spans="1:12" x14ac:dyDescent="0.2">
      <c r="A86">
        <v>71</v>
      </c>
      <c r="B86" s="8" t="s">
        <v>8</v>
      </c>
      <c r="C86" s="8" t="s">
        <v>8</v>
      </c>
      <c r="E86" t="s">
        <v>867</v>
      </c>
      <c r="F86" s="35">
        <v>0</v>
      </c>
      <c r="G86" s="16" t="str">
        <f t="shared" si="2"/>
        <v>fixed</v>
      </c>
      <c r="H86" s="16" t="str">
        <f t="shared" si="3"/>
        <v>no</v>
      </c>
      <c r="I86">
        <v>0</v>
      </c>
      <c r="J86">
        <v>0</v>
      </c>
      <c r="K86" s="64" t="str">
        <f t="shared" si="5"/>
        <v/>
      </c>
    </row>
    <row r="87" spans="1:12" x14ac:dyDescent="0.2">
      <c r="A87">
        <v>72</v>
      </c>
      <c r="B87" s="8" t="s">
        <v>8</v>
      </c>
      <c r="C87" s="8" t="s">
        <v>8</v>
      </c>
      <c r="E87" t="s">
        <v>868</v>
      </c>
      <c r="F87" s="35">
        <v>0</v>
      </c>
      <c r="G87" s="16" t="str">
        <f t="shared" si="2"/>
        <v>fixed</v>
      </c>
      <c r="H87" s="16" t="str">
        <f t="shared" si="3"/>
        <v>no</v>
      </c>
      <c r="I87">
        <v>0</v>
      </c>
      <c r="J87">
        <v>0</v>
      </c>
      <c r="K87" s="64" t="str">
        <f t="shared" si="5"/>
        <v/>
      </c>
    </row>
    <row r="88" spans="1:12" x14ac:dyDescent="0.2">
      <c r="A88">
        <v>73</v>
      </c>
      <c r="B88" s="8" t="s">
        <v>8</v>
      </c>
      <c r="C88" s="8" t="s">
        <v>8</v>
      </c>
      <c r="E88" t="s">
        <v>869</v>
      </c>
      <c r="F88" s="35">
        <v>0</v>
      </c>
      <c r="G88" s="16" t="str">
        <f t="shared" si="2"/>
        <v>fixed</v>
      </c>
      <c r="H88" s="16" t="str">
        <f t="shared" si="3"/>
        <v>no</v>
      </c>
      <c r="I88">
        <v>0</v>
      </c>
      <c r="J88">
        <v>0</v>
      </c>
      <c r="K88" s="64" t="str">
        <f t="shared" si="5"/>
        <v/>
      </c>
    </row>
    <row r="89" spans="1:12" x14ac:dyDescent="0.2">
      <c r="A89">
        <v>74</v>
      </c>
      <c r="B89" s="8" t="s">
        <v>8</v>
      </c>
      <c r="C89" s="8" t="s">
        <v>8</v>
      </c>
      <c r="E89" t="s">
        <v>870</v>
      </c>
      <c r="F89" s="35">
        <v>0</v>
      </c>
      <c r="G89" s="16" t="str">
        <f t="shared" si="2"/>
        <v>fixed</v>
      </c>
      <c r="H89" s="16" t="str">
        <f t="shared" si="3"/>
        <v>no</v>
      </c>
      <c r="I89">
        <v>0</v>
      </c>
      <c r="J89">
        <v>0</v>
      </c>
      <c r="K89" s="64" t="str">
        <f t="shared" si="5"/>
        <v/>
      </c>
    </row>
    <row r="90" spans="1:12" x14ac:dyDescent="0.2">
      <c r="A90">
        <v>75</v>
      </c>
      <c r="B90" s="8" t="s">
        <v>8</v>
      </c>
      <c r="C90" s="8" t="s">
        <v>8</v>
      </c>
      <c r="E90" t="s">
        <v>871</v>
      </c>
      <c r="F90" s="35">
        <v>0</v>
      </c>
      <c r="G90" s="16" t="str">
        <f t="shared" si="2"/>
        <v>fixed</v>
      </c>
      <c r="H90" s="16" t="str">
        <f t="shared" si="3"/>
        <v>no</v>
      </c>
      <c r="I90">
        <v>0</v>
      </c>
      <c r="J90">
        <v>0</v>
      </c>
      <c r="K90" s="64" t="str">
        <f t="shared" si="5"/>
        <v/>
      </c>
    </row>
    <row r="91" spans="1:12" x14ac:dyDescent="0.2">
      <c r="A91">
        <v>76</v>
      </c>
      <c r="B91" s="8" t="s">
        <v>8</v>
      </c>
      <c r="C91" s="8" t="s">
        <v>8</v>
      </c>
      <c r="E91" t="s">
        <v>872</v>
      </c>
      <c r="F91" s="35">
        <v>0</v>
      </c>
      <c r="G91" s="16" t="str">
        <f t="shared" si="2"/>
        <v>fixed</v>
      </c>
      <c r="H91" s="16" t="str">
        <f t="shared" si="3"/>
        <v>no</v>
      </c>
      <c r="I91">
        <v>0</v>
      </c>
      <c r="J91">
        <v>0</v>
      </c>
      <c r="K91" s="64" t="str">
        <f t="shared" si="5"/>
        <v/>
      </c>
    </row>
    <row r="92" spans="1:12" x14ac:dyDescent="0.2">
      <c r="A92">
        <v>77</v>
      </c>
      <c r="B92" s="8" t="s">
        <v>8</v>
      </c>
      <c r="C92" s="8" t="s">
        <v>8</v>
      </c>
      <c r="E92" t="s">
        <v>873</v>
      </c>
      <c r="F92" s="35">
        <v>0</v>
      </c>
      <c r="G92" s="16" t="str">
        <f t="shared" si="2"/>
        <v>fixed</v>
      </c>
      <c r="H92" s="16" t="str">
        <f t="shared" si="3"/>
        <v>no</v>
      </c>
      <c r="I92">
        <v>0</v>
      </c>
      <c r="J92">
        <v>0</v>
      </c>
      <c r="K92" s="64" t="str">
        <f t="shared" si="5"/>
        <v/>
      </c>
    </row>
    <row r="93" spans="1:12" x14ac:dyDescent="0.2">
      <c r="A93">
        <v>78</v>
      </c>
      <c r="B93" s="8" t="s">
        <v>8</v>
      </c>
      <c r="C93" s="8" t="s">
        <v>8</v>
      </c>
      <c r="E93" t="s">
        <v>874</v>
      </c>
      <c r="F93" s="35">
        <v>0</v>
      </c>
      <c r="G93" s="16" t="str">
        <f t="shared" si="2"/>
        <v>fixed</v>
      </c>
      <c r="H93" s="16" t="str">
        <f t="shared" si="3"/>
        <v>no</v>
      </c>
      <c r="I93">
        <v>0</v>
      </c>
      <c r="J93">
        <v>0</v>
      </c>
      <c r="K93" s="64" t="str">
        <f t="shared" si="5"/>
        <v/>
      </c>
    </row>
    <row r="94" spans="1:12" x14ac:dyDescent="0.2">
      <c r="A94">
        <v>79</v>
      </c>
      <c r="B94" s="8" t="s">
        <v>8</v>
      </c>
      <c r="C94" s="8" t="s">
        <v>8</v>
      </c>
      <c r="E94" t="s">
        <v>875</v>
      </c>
      <c r="F94" s="35">
        <v>0</v>
      </c>
      <c r="G94" s="16" t="str">
        <f t="shared" si="2"/>
        <v>fixed</v>
      </c>
      <c r="H94" s="16" t="str">
        <f t="shared" si="3"/>
        <v>no</v>
      </c>
      <c r="I94">
        <v>0</v>
      </c>
      <c r="J94">
        <v>0</v>
      </c>
      <c r="K94" s="64" t="str">
        <f t="shared" si="5"/>
        <v/>
      </c>
    </row>
    <row r="95" spans="1:12" x14ac:dyDescent="0.2">
      <c r="A95">
        <v>80</v>
      </c>
      <c r="B95" s="8" t="s">
        <v>8</v>
      </c>
      <c r="C95" s="8" t="s">
        <v>8</v>
      </c>
      <c r="E95" t="s">
        <v>876</v>
      </c>
      <c r="F95" s="35">
        <v>0</v>
      </c>
      <c r="G95" s="16" t="str">
        <f t="shared" si="2"/>
        <v>fixed</v>
      </c>
      <c r="H95" s="16" t="str">
        <f t="shared" si="3"/>
        <v>no</v>
      </c>
      <c r="I95">
        <v>0</v>
      </c>
      <c r="J95">
        <v>0</v>
      </c>
      <c r="K95" s="64" t="str">
        <f t="shared" si="5"/>
        <v/>
      </c>
    </row>
    <row r="96" spans="1:12" x14ac:dyDescent="0.2">
      <c r="A96">
        <v>81</v>
      </c>
      <c r="B96" s="8" t="s">
        <v>8</v>
      </c>
      <c r="C96" s="8" t="s">
        <v>8</v>
      </c>
      <c r="E96" t="s">
        <v>877</v>
      </c>
      <c r="F96" s="35">
        <v>0</v>
      </c>
      <c r="G96" s="16" t="str">
        <f t="shared" si="2"/>
        <v>fixed</v>
      </c>
      <c r="H96" s="16" t="str">
        <f t="shared" si="3"/>
        <v>no</v>
      </c>
      <c r="I96">
        <v>0</v>
      </c>
      <c r="J96">
        <v>0</v>
      </c>
      <c r="K96" s="64" t="str">
        <f t="shared" si="5"/>
        <v/>
      </c>
    </row>
    <row r="97" spans="1:11" x14ac:dyDescent="0.2">
      <c r="A97">
        <v>82</v>
      </c>
      <c r="B97" s="8" t="s">
        <v>8</v>
      </c>
      <c r="C97" s="8" t="s">
        <v>8</v>
      </c>
      <c r="E97" t="s">
        <v>878</v>
      </c>
      <c r="F97" s="35">
        <v>0</v>
      </c>
      <c r="G97" s="16" t="str">
        <f t="shared" si="2"/>
        <v>fixed</v>
      </c>
      <c r="H97" s="16" t="str">
        <f t="shared" si="3"/>
        <v>no</v>
      </c>
      <c r="I97">
        <v>0</v>
      </c>
      <c r="J97">
        <v>0</v>
      </c>
      <c r="K97" s="64" t="str">
        <f t="shared" si="5"/>
        <v/>
      </c>
    </row>
    <row r="98" spans="1:11" x14ac:dyDescent="0.2">
      <c r="A98">
        <v>83</v>
      </c>
      <c r="B98" s="8" t="s">
        <v>8</v>
      </c>
      <c r="C98" s="8" t="s">
        <v>8</v>
      </c>
      <c r="E98" t="s">
        <v>879</v>
      </c>
      <c r="F98" s="35">
        <v>0</v>
      </c>
      <c r="G98" s="16" t="str">
        <f t="shared" si="2"/>
        <v>fixed</v>
      </c>
      <c r="H98" s="16" t="str">
        <f t="shared" si="3"/>
        <v>no</v>
      </c>
      <c r="I98">
        <v>0</v>
      </c>
      <c r="J98">
        <v>0</v>
      </c>
      <c r="K98" s="64" t="str">
        <f t="shared" si="5"/>
        <v/>
      </c>
    </row>
    <row r="99" spans="1:11" x14ac:dyDescent="0.2">
      <c r="A99">
        <v>84</v>
      </c>
      <c r="B99" s="8" t="s">
        <v>8</v>
      </c>
      <c r="C99" s="8" t="s">
        <v>8</v>
      </c>
      <c r="E99" t="s">
        <v>880</v>
      </c>
      <c r="F99" s="35">
        <v>0</v>
      </c>
      <c r="G99" s="16" t="str">
        <f t="shared" si="2"/>
        <v>fixed</v>
      </c>
      <c r="H99" s="16" t="str">
        <f t="shared" si="3"/>
        <v>no</v>
      </c>
      <c r="I99">
        <v>0</v>
      </c>
      <c r="J99">
        <v>0</v>
      </c>
      <c r="K99" s="64" t="str">
        <f t="shared" si="5"/>
        <v/>
      </c>
    </row>
    <row r="100" spans="1:11" x14ac:dyDescent="0.2">
      <c r="A100">
        <v>85</v>
      </c>
      <c r="B100" s="8" t="s">
        <v>8</v>
      </c>
      <c r="C100" s="8" t="s">
        <v>8</v>
      </c>
      <c r="E100" t="s">
        <v>881</v>
      </c>
      <c r="F100" s="35">
        <v>0</v>
      </c>
      <c r="G100" s="16" t="str">
        <f t="shared" si="2"/>
        <v>fixed</v>
      </c>
      <c r="H100" s="16" t="str">
        <f t="shared" si="3"/>
        <v>no</v>
      </c>
      <c r="I100">
        <v>0</v>
      </c>
      <c r="J100">
        <v>0</v>
      </c>
      <c r="K100" s="64" t="str">
        <f t="shared" si="5"/>
        <v/>
      </c>
    </row>
    <row r="101" spans="1:11" x14ac:dyDescent="0.2">
      <c r="A101">
        <v>86</v>
      </c>
      <c r="B101" s="8" t="s">
        <v>8</v>
      </c>
      <c r="C101" s="8" t="s">
        <v>8</v>
      </c>
      <c r="E101" t="s">
        <v>882</v>
      </c>
      <c r="F101" s="35">
        <v>0</v>
      </c>
      <c r="G101" s="16" t="str">
        <f t="shared" si="2"/>
        <v>fixed</v>
      </c>
      <c r="H101" s="16" t="str">
        <f t="shared" si="3"/>
        <v>no</v>
      </c>
      <c r="I101">
        <v>0</v>
      </c>
      <c r="J101">
        <v>0</v>
      </c>
      <c r="K101" s="64" t="str">
        <f t="shared" si="5"/>
        <v/>
      </c>
    </row>
    <row r="102" spans="1:11" x14ac:dyDescent="0.2">
      <c r="A102">
        <v>87</v>
      </c>
      <c r="B102" s="8" t="s">
        <v>8</v>
      </c>
      <c r="C102" s="8" t="s">
        <v>8</v>
      </c>
      <c r="E102" t="s">
        <v>883</v>
      </c>
      <c r="F102" s="35">
        <v>0</v>
      </c>
      <c r="G102" s="16" t="str">
        <f t="shared" si="2"/>
        <v>fixed</v>
      </c>
      <c r="H102" s="16" t="str">
        <f t="shared" si="3"/>
        <v>no</v>
      </c>
      <c r="I102">
        <v>0</v>
      </c>
      <c r="J102">
        <v>0</v>
      </c>
      <c r="K102" s="64" t="str">
        <f t="shared" si="5"/>
        <v/>
      </c>
    </row>
    <row r="103" spans="1:11" x14ac:dyDescent="0.2">
      <c r="A103">
        <v>88</v>
      </c>
      <c r="B103" s="8" t="s">
        <v>8</v>
      </c>
      <c r="C103" s="8" t="s">
        <v>8</v>
      </c>
      <c r="E103" t="s">
        <v>884</v>
      </c>
      <c r="F103" s="35">
        <v>0</v>
      </c>
      <c r="G103" s="16" t="str">
        <f t="shared" si="2"/>
        <v>fixed</v>
      </c>
      <c r="H103" s="16" t="str">
        <f t="shared" si="3"/>
        <v>no</v>
      </c>
      <c r="I103">
        <v>0</v>
      </c>
      <c r="J103">
        <v>0</v>
      </c>
      <c r="K103" s="64" t="str">
        <f t="shared" si="5"/>
        <v/>
      </c>
    </row>
    <row r="104" spans="1:11" x14ac:dyDescent="0.2">
      <c r="A104">
        <v>89</v>
      </c>
      <c r="B104" s="8" t="s">
        <v>8</v>
      </c>
      <c r="C104" s="8" t="s">
        <v>8</v>
      </c>
      <c r="E104" t="s">
        <v>885</v>
      </c>
      <c r="F104" s="35">
        <v>0</v>
      </c>
      <c r="G104" s="16" t="str">
        <f t="shared" si="2"/>
        <v>fixed</v>
      </c>
      <c r="H104" s="16" t="str">
        <f t="shared" si="3"/>
        <v>no</v>
      </c>
      <c r="I104">
        <v>0</v>
      </c>
      <c r="J104">
        <v>0</v>
      </c>
      <c r="K104" s="64" t="str">
        <f t="shared" si="5"/>
        <v/>
      </c>
    </row>
    <row r="105" spans="1:11" x14ac:dyDescent="0.2">
      <c r="A105">
        <v>90</v>
      </c>
      <c r="B105" s="8" t="s">
        <v>8</v>
      </c>
      <c r="C105" s="8" t="s">
        <v>8</v>
      </c>
      <c r="E105" t="s">
        <v>886</v>
      </c>
      <c r="F105" s="35">
        <v>0</v>
      </c>
      <c r="G105" s="16" t="str">
        <f t="shared" si="2"/>
        <v>fixed</v>
      </c>
      <c r="H105" s="16" t="str">
        <f t="shared" si="3"/>
        <v>no</v>
      </c>
      <c r="I105">
        <v>0</v>
      </c>
      <c r="J105">
        <v>0</v>
      </c>
      <c r="K105" s="64" t="str">
        <f t="shared" si="5"/>
        <v/>
      </c>
    </row>
    <row r="106" spans="1:11" x14ac:dyDescent="0.2">
      <c r="A106">
        <v>91</v>
      </c>
      <c r="B106" s="8" t="s">
        <v>8</v>
      </c>
      <c r="C106" s="8" t="s">
        <v>8</v>
      </c>
      <c r="E106" t="s">
        <v>887</v>
      </c>
      <c r="F106" s="35">
        <v>0</v>
      </c>
      <c r="G106" s="16" t="str">
        <f t="shared" si="2"/>
        <v>fixed</v>
      </c>
      <c r="H106" s="16" t="str">
        <f t="shared" si="3"/>
        <v>no</v>
      </c>
      <c r="I106">
        <v>0</v>
      </c>
      <c r="J106">
        <v>0</v>
      </c>
      <c r="K106" s="64" t="str">
        <f t="shared" si="5"/>
        <v/>
      </c>
    </row>
    <row r="107" spans="1:11" x14ac:dyDescent="0.2">
      <c r="A107">
        <v>92</v>
      </c>
      <c r="B107" s="8" t="s">
        <v>8</v>
      </c>
      <c r="C107" s="8" t="s">
        <v>8</v>
      </c>
      <c r="E107" t="s">
        <v>888</v>
      </c>
      <c r="F107" s="35">
        <v>0</v>
      </c>
      <c r="G107" s="16" t="str">
        <f t="shared" si="2"/>
        <v>fixed</v>
      </c>
      <c r="H107" s="16" t="str">
        <f t="shared" si="3"/>
        <v>no</v>
      </c>
      <c r="I107">
        <v>0</v>
      </c>
      <c r="J107">
        <v>0</v>
      </c>
      <c r="K107" s="64" t="str">
        <f t="shared" si="5"/>
        <v/>
      </c>
    </row>
    <row r="108" spans="1:11" x14ac:dyDescent="0.2">
      <c r="A108">
        <v>93</v>
      </c>
      <c r="B108" s="8" t="s">
        <v>8</v>
      </c>
      <c r="C108" s="8" t="s">
        <v>8</v>
      </c>
      <c r="E108" t="s">
        <v>889</v>
      </c>
      <c r="F108" s="35">
        <v>0</v>
      </c>
      <c r="G108" s="16" t="str">
        <f t="shared" si="2"/>
        <v>fixed</v>
      </c>
      <c r="H108" s="16" t="str">
        <f t="shared" si="3"/>
        <v>no</v>
      </c>
      <c r="I108">
        <v>0</v>
      </c>
      <c r="J108">
        <v>0</v>
      </c>
      <c r="K108" s="64" t="str">
        <f t="shared" si="5"/>
        <v/>
      </c>
    </row>
    <row r="109" spans="1:11" x14ac:dyDescent="0.2">
      <c r="A109">
        <v>94</v>
      </c>
      <c r="B109" s="8" t="s">
        <v>8</v>
      </c>
      <c r="C109" s="8" t="s">
        <v>8</v>
      </c>
      <c r="E109" t="s">
        <v>890</v>
      </c>
      <c r="F109" s="35">
        <v>0</v>
      </c>
      <c r="G109" s="16" t="str">
        <f t="shared" si="2"/>
        <v>fixed</v>
      </c>
      <c r="H109" s="16" t="str">
        <f t="shared" si="3"/>
        <v>no</v>
      </c>
      <c r="I109">
        <v>0</v>
      </c>
      <c r="J109">
        <v>0</v>
      </c>
      <c r="K109" s="64" t="str">
        <f t="shared" si="5"/>
        <v/>
      </c>
    </row>
    <row r="110" spans="1:11" x14ac:dyDescent="0.2">
      <c r="A110">
        <v>95</v>
      </c>
      <c r="B110" s="8" t="s">
        <v>8</v>
      </c>
      <c r="C110" s="8" t="s">
        <v>8</v>
      </c>
      <c r="E110" t="s">
        <v>891</v>
      </c>
      <c r="F110" s="35">
        <v>0</v>
      </c>
      <c r="G110" s="16" t="str">
        <f t="shared" si="2"/>
        <v>fixed</v>
      </c>
      <c r="H110" s="16" t="str">
        <f t="shared" si="3"/>
        <v>no</v>
      </c>
      <c r="I110">
        <v>0</v>
      </c>
      <c r="J110">
        <v>0</v>
      </c>
      <c r="K110" s="64" t="str">
        <f t="shared" si="5"/>
        <v/>
      </c>
    </row>
    <row r="111" spans="1:11" x14ac:dyDescent="0.2">
      <c r="A111">
        <v>96</v>
      </c>
      <c r="B111" s="8" t="s">
        <v>8</v>
      </c>
      <c r="C111" s="8" t="s">
        <v>8</v>
      </c>
      <c r="E111" t="s">
        <v>892</v>
      </c>
      <c r="F111" s="35">
        <v>0</v>
      </c>
      <c r="G111" s="16" t="str">
        <f t="shared" si="2"/>
        <v>fixed</v>
      </c>
      <c r="H111" s="16" t="str">
        <f t="shared" si="3"/>
        <v>no</v>
      </c>
      <c r="I111">
        <v>0</v>
      </c>
      <c r="J111">
        <v>0</v>
      </c>
      <c r="K111" s="64" t="str">
        <f t="shared" si="5"/>
        <v/>
      </c>
    </row>
    <row r="112" spans="1:11" x14ac:dyDescent="0.2">
      <c r="A112">
        <v>97</v>
      </c>
      <c r="B112" s="8" t="s">
        <v>8</v>
      </c>
      <c r="C112" s="8" t="s">
        <v>8</v>
      </c>
      <c r="E112" t="s">
        <v>893</v>
      </c>
      <c r="F112" s="35">
        <v>0</v>
      </c>
      <c r="G112" s="16" t="str">
        <f t="shared" si="2"/>
        <v>fixed</v>
      </c>
      <c r="H112" s="16" t="str">
        <f t="shared" si="3"/>
        <v>no</v>
      </c>
      <c r="I112">
        <v>0</v>
      </c>
      <c r="J112">
        <v>0</v>
      </c>
      <c r="K112" s="64" t="str">
        <f t="shared" si="5"/>
        <v/>
      </c>
    </row>
    <row r="113" spans="1:11" x14ac:dyDescent="0.2">
      <c r="A113">
        <v>98</v>
      </c>
      <c r="B113" s="8" t="s">
        <v>8</v>
      </c>
      <c r="C113" s="8" t="s">
        <v>8</v>
      </c>
      <c r="E113" t="s">
        <v>894</v>
      </c>
      <c r="F113" s="35">
        <v>0</v>
      </c>
      <c r="G113" s="16" t="str">
        <f t="shared" si="2"/>
        <v>fixed</v>
      </c>
      <c r="H113" s="16" t="str">
        <f t="shared" si="3"/>
        <v>no</v>
      </c>
      <c r="I113">
        <v>0</v>
      </c>
      <c r="J113">
        <v>0</v>
      </c>
      <c r="K113" s="64" t="str">
        <f t="shared" si="5"/>
        <v/>
      </c>
    </row>
    <row r="114" spans="1:11" x14ac:dyDescent="0.2">
      <c r="A114">
        <v>99</v>
      </c>
      <c r="B114" s="8" t="s">
        <v>8</v>
      </c>
      <c r="C114" s="8" t="s">
        <v>8</v>
      </c>
      <c r="E114" t="s">
        <v>895</v>
      </c>
      <c r="F114" s="35">
        <v>0</v>
      </c>
      <c r="G114" s="16" t="str">
        <f t="shared" si="2"/>
        <v>fixed</v>
      </c>
      <c r="H114" s="16" t="str">
        <f t="shared" si="3"/>
        <v>no</v>
      </c>
      <c r="I114">
        <v>0</v>
      </c>
      <c r="J114">
        <v>0</v>
      </c>
      <c r="K114" s="64" t="str">
        <f t="shared" si="5"/>
        <v/>
      </c>
    </row>
    <row r="115" spans="1:11" x14ac:dyDescent="0.2">
      <c r="A115">
        <v>100</v>
      </c>
      <c r="B115" s="8" t="s">
        <v>8</v>
      </c>
      <c r="C115" s="8" t="s">
        <v>8</v>
      </c>
      <c r="E115" t="s">
        <v>896</v>
      </c>
      <c r="F115" s="35">
        <v>0</v>
      </c>
      <c r="G115" s="16" t="str">
        <f t="shared" si="2"/>
        <v>fixed</v>
      </c>
      <c r="H115" s="16" t="str">
        <f t="shared" si="3"/>
        <v>no</v>
      </c>
      <c r="I115">
        <v>0</v>
      </c>
      <c r="J115">
        <v>0</v>
      </c>
      <c r="K115" s="64" t="str">
        <f t="shared" si="5"/>
        <v/>
      </c>
    </row>
    <row r="116" spans="1:11" x14ac:dyDescent="0.2">
      <c r="A116">
        <v>101</v>
      </c>
      <c r="B116" s="8" t="s">
        <v>8</v>
      </c>
      <c r="C116" s="8" t="s">
        <v>8</v>
      </c>
      <c r="E116" t="s">
        <v>897</v>
      </c>
      <c r="F116" s="35">
        <v>0</v>
      </c>
      <c r="G116" s="16" t="str">
        <f t="shared" si="2"/>
        <v>fixed</v>
      </c>
      <c r="H116" s="16" t="str">
        <f t="shared" si="3"/>
        <v>no</v>
      </c>
      <c r="I116">
        <v>0</v>
      </c>
      <c r="J116">
        <v>0</v>
      </c>
      <c r="K116" s="64" t="str">
        <f t="shared" si="5"/>
        <v/>
      </c>
    </row>
    <row r="117" spans="1:11" x14ac:dyDescent="0.2">
      <c r="A117">
        <v>102</v>
      </c>
      <c r="B117" s="8" t="s">
        <v>8</v>
      </c>
      <c r="C117" s="8" t="s">
        <v>8</v>
      </c>
      <c r="E117" t="s">
        <v>898</v>
      </c>
      <c r="F117" s="35">
        <v>0</v>
      </c>
      <c r="G117" s="16" t="str">
        <f t="shared" si="2"/>
        <v>fixed</v>
      </c>
      <c r="H117" s="16" t="str">
        <f t="shared" si="3"/>
        <v>no</v>
      </c>
      <c r="I117">
        <v>0</v>
      </c>
      <c r="J117">
        <v>0</v>
      </c>
      <c r="K117" s="64" t="str">
        <f t="shared" si="5"/>
        <v/>
      </c>
    </row>
    <row r="118" spans="1:11" x14ac:dyDescent="0.2">
      <c r="A118">
        <v>103</v>
      </c>
      <c r="B118" s="8" t="s">
        <v>8</v>
      </c>
      <c r="C118" s="8" t="s">
        <v>8</v>
      </c>
      <c r="E118" t="s">
        <v>899</v>
      </c>
      <c r="F118" s="35">
        <v>0</v>
      </c>
      <c r="G118" s="16" t="str">
        <f t="shared" si="2"/>
        <v>fixed</v>
      </c>
      <c r="H118" s="16" t="str">
        <f t="shared" si="3"/>
        <v>no</v>
      </c>
      <c r="I118">
        <v>0</v>
      </c>
      <c r="J118">
        <v>0</v>
      </c>
      <c r="K118" s="64" t="str">
        <f t="shared" si="5"/>
        <v/>
      </c>
    </row>
    <row r="119" spans="1:11" x14ac:dyDescent="0.2">
      <c r="A119">
        <v>104</v>
      </c>
      <c r="B119" s="8" t="s">
        <v>8</v>
      </c>
      <c r="C119" s="8" t="s">
        <v>8</v>
      </c>
      <c r="E119" t="s">
        <v>900</v>
      </c>
      <c r="F119" s="35">
        <v>0</v>
      </c>
      <c r="G119" s="16" t="str">
        <f t="shared" si="2"/>
        <v>fixed</v>
      </c>
      <c r="H119" s="16" t="str">
        <f t="shared" si="3"/>
        <v>no</v>
      </c>
      <c r="I119">
        <v>0</v>
      </c>
      <c r="J119">
        <v>0</v>
      </c>
      <c r="K119" s="64" t="str">
        <f t="shared" si="5"/>
        <v/>
      </c>
    </row>
    <row r="120" spans="1:11" x14ac:dyDescent="0.2">
      <c r="A120">
        <v>105</v>
      </c>
      <c r="B120" s="8" t="s">
        <v>8</v>
      </c>
      <c r="C120" s="8" t="s">
        <v>8</v>
      </c>
      <c r="E120" t="s">
        <v>901</v>
      </c>
      <c r="F120" s="35">
        <v>0</v>
      </c>
      <c r="G120" s="16" t="str">
        <f t="shared" si="2"/>
        <v>fixed</v>
      </c>
      <c r="H120" s="16" t="str">
        <f t="shared" si="3"/>
        <v>no</v>
      </c>
      <c r="I120">
        <v>0</v>
      </c>
      <c r="J120">
        <v>0</v>
      </c>
      <c r="K120" s="64" t="str">
        <f t="shared" si="5"/>
        <v/>
      </c>
    </row>
    <row r="121" spans="1:11" x14ac:dyDescent="0.2">
      <c r="A121">
        <v>106</v>
      </c>
      <c r="B121" s="8" t="s">
        <v>8</v>
      </c>
      <c r="C121" s="8" t="s">
        <v>8</v>
      </c>
      <c r="E121" t="s">
        <v>902</v>
      </c>
      <c r="F121" s="35">
        <v>0</v>
      </c>
      <c r="G121" s="16" t="str">
        <f t="shared" si="2"/>
        <v>fixed</v>
      </c>
      <c r="H121" s="16" t="str">
        <f t="shared" si="3"/>
        <v>no</v>
      </c>
      <c r="I121">
        <v>0</v>
      </c>
      <c r="J121">
        <v>0</v>
      </c>
      <c r="K121" s="64" t="str">
        <f t="shared" si="5"/>
        <v/>
      </c>
    </row>
    <row r="122" spans="1:11" x14ac:dyDescent="0.2">
      <c r="A122">
        <v>107</v>
      </c>
      <c r="B122" s="8" t="s">
        <v>8</v>
      </c>
      <c r="C122" s="8" t="s">
        <v>8</v>
      </c>
      <c r="E122" t="s">
        <v>903</v>
      </c>
      <c r="F122" s="35">
        <v>0</v>
      </c>
      <c r="G122" s="16" t="str">
        <f t="shared" si="2"/>
        <v>fixed</v>
      </c>
      <c r="H122" s="16" t="str">
        <f t="shared" si="3"/>
        <v>no</v>
      </c>
      <c r="I122">
        <v>0</v>
      </c>
      <c r="J122">
        <v>0</v>
      </c>
      <c r="K122" s="64" t="str">
        <f t="shared" si="5"/>
        <v/>
      </c>
    </row>
    <row r="123" spans="1:11" x14ac:dyDescent="0.2">
      <c r="A123">
        <v>108</v>
      </c>
      <c r="B123" s="8" t="s">
        <v>8</v>
      </c>
      <c r="C123" s="8" t="s">
        <v>8</v>
      </c>
      <c r="E123" t="s">
        <v>904</v>
      </c>
      <c r="F123" s="35">
        <v>0</v>
      </c>
      <c r="G123" s="16" t="str">
        <f t="shared" si="2"/>
        <v>fixed</v>
      </c>
      <c r="H123" s="16" t="str">
        <f t="shared" si="3"/>
        <v>no</v>
      </c>
      <c r="I123">
        <v>0</v>
      </c>
      <c r="J123">
        <v>0</v>
      </c>
      <c r="K123" s="64" t="str">
        <f t="shared" si="5"/>
        <v/>
      </c>
    </row>
    <row r="124" spans="1:11" x14ac:dyDescent="0.2">
      <c r="A124">
        <v>109</v>
      </c>
      <c r="B124" s="8" t="s">
        <v>8</v>
      </c>
      <c r="C124" s="8" t="s">
        <v>8</v>
      </c>
      <c r="E124" t="s">
        <v>905</v>
      </c>
      <c r="F124" s="35">
        <v>0</v>
      </c>
      <c r="G124" s="16" t="str">
        <f t="shared" si="2"/>
        <v>fixed</v>
      </c>
      <c r="H124" s="16" t="str">
        <f t="shared" si="3"/>
        <v>no</v>
      </c>
      <c r="I124">
        <v>0</v>
      </c>
      <c r="J124">
        <v>0</v>
      </c>
      <c r="K124" s="64" t="str">
        <f t="shared" si="5"/>
        <v/>
      </c>
    </row>
    <row r="125" spans="1:11" x14ac:dyDescent="0.2">
      <c r="A125">
        <v>110</v>
      </c>
      <c r="B125" s="8" t="s">
        <v>8</v>
      </c>
      <c r="C125" s="8" t="s">
        <v>8</v>
      </c>
      <c r="E125" t="s">
        <v>906</v>
      </c>
      <c r="F125" s="35">
        <v>0</v>
      </c>
      <c r="G125" s="16" t="str">
        <f t="shared" si="2"/>
        <v>fixed</v>
      </c>
      <c r="H125" s="16" t="str">
        <f t="shared" si="3"/>
        <v>no</v>
      </c>
      <c r="I125">
        <v>0</v>
      </c>
      <c r="J125">
        <v>0</v>
      </c>
      <c r="K125" s="64" t="str">
        <f t="shared" si="5"/>
        <v/>
      </c>
    </row>
    <row r="126" spans="1:11" x14ac:dyDescent="0.2">
      <c r="A126">
        <v>111</v>
      </c>
      <c r="B126" s="8" t="s">
        <v>8</v>
      </c>
      <c r="C126" s="8" t="s">
        <v>8</v>
      </c>
      <c r="E126" t="s">
        <v>907</v>
      </c>
      <c r="F126" s="35">
        <v>0</v>
      </c>
      <c r="G126" s="16" t="str">
        <f t="shared" si="2"/>
        <v>fixed</v>
      </c>
      <c r="H126" s="16" t="str">
        <f t="shared" si="3"/>
        <v>no</v>
      </c>
      <c r="I126">
        <v>0</v>
      </c>
      <c r="J126">
        <v>0</v>
      </c>
      <c r="K126" s="64" t="str">
        <f t="shared" si="5"/>
        <v/>
      </c>
    </row>
    <row r="127" spans="1:11" x14ac:dyDescent="0.2">
      <c r="A127">
        <v>112</v>
      </c>
      <c r="B127" s="8" t="s">
        <v>8</v>
      </c>
      <c r="C127" s="8" t="s">
        <v>8</v>
      </c>
      <c r="E127" t="s">
        <v>908</v>
      </c>
      <c r="F127" s="35">
        <v>0</v>
      </c>
      <c r="G127" s="16" t="str">
        <f t="shared" si="2"/>
        <v>fixed</v>
      </c>
      <c r="H127" s="16" t="str">
        <f t="shared" si="3"/>
        <v>no</v>
      </c>
      <c r="I127">
        <v>0</v>
      </c>
      <c r="J127">
        <v>0</v>
      </c>
      <c r="K127" s="64" t="str">
        <f t="shared" si="5"/>
        <v/>
      </c>
    </row>
    <row r="128" spans="1:11" x14ac:dyDescent="0.2">
      <c r="A128">
        <v>113</v>
      </c>
      <c r="B128" s="8" t="s">
        <v>8</v>
      </c>
      <c r="C128" s="8" t="s">
        <v>8</v>
      </c>
      <c r="E128" t="s">
        <v>909</v>
      </c>
      <c r="F128" s="35">
        <v>0</v>
      </c>
      <c r="G128" s="16" t="str">
        <f t="shared" si="2"/>
        <v>fixed</v>
      </c>
      <c r="H128" s="16" t="str">
        <f t="shared" si="3"/>
        <v>no</v>
      </c>
      <c r="I128">
        <v>0</v>
      </c>
      <c r="J128">
        <v>0</v>
      </c>
      <c r="K128" s="64" t="str">
        <f t="shared" si="5"/>
        <v/>
      </c>
    </row>
    <row r="129" spans="1:11" x14ac:dyDescent="0.2">
      <c r="A129">
        <v>114</v>
      </c>
      <c r="B129" s="8" t="s">
        <v>8</v>
      </c>
      <c r="C129" s="8" t="s">
        <v>8</v>
      </c>
      <c r="E129" t="s">
        <v>910</v>
      </c>
      <c r="F129" s="35">
        <v>0</v>
      </c>
      <c r="G129" s="16" t="str">
        <f t="shared" si="2"/>
        <v>fixed</v>
      </c>
      <c r="H129" s="16" t="str">
        <f t="shared" si="3"/>
        <v>no</v>
      </c>
      <c r="I129">
        <v>0</v>
      </c>
      <c r="J129">
        <v>0</v>
      </c>
      <c r="K129" s="64" t="str">
        <f t="shared" si="5"/>
        <v/>
      </c>
    </row>
    <row r="130" spans="1:11" x14ac:dyDescent="0.2">
      <c r="A130">
        <v>115</v>
      </c>
      <c r="B130" s="8" t="s">
        <v>8</v>
      </c>
      <c r="C130" s="8" t="s">
        <v>8</v>
      </c>
      <c r="E130" t="s">
        <v>911</v>
      </c>
      <c r="F130" s="35">
        <v>0</v>
      </c>
      <c r="G130" s="16" t="str">
        <f t="shared" ref="G130:G194" si="6">IF(I130=J130,"fixed",IF(I130=0,"fixed","uniform"))</f>
        <v>fixed</v>
      </c>
      <c r="H130" s="16" t="str">
        <f t="shared" si="3"/>
        <v>no</v>
      </c>
      <c r="I130">
        <v>0</v>
      </c>
      <c r="J130">
        <v>0</v>
      </c>
      <c r="K130" s="64" t="str">
        <f t="shared" si="5"/>
        <v/>
      </c>
    </row>
    <row r="131" spans="1:11" x14ac:dyDescent="0.2">
      <c r="A131">
        <v>116</v>
      </c>
      <c r="B131" s="8" t="s">
        <v>8</v>
      </c>
      <c r="C131" s="8" t="s">
        <v>8</v>
      </c>
      <c r="E131" t="s">
        <v>912</v>
      </c>
      <c r="F131" s="35">
        <v>0</v>
      </c>
      <c r="G131" s="16" t="str">
        <f t="shared" si="6"/>
        <v>fixed</v>
      </c>
      <c r="H131" s="16" t="str">
        <f t="shared" si="3"/>
        <v>no</v>
      </c>
      <c r="I131">
        <v>0</v>
      </c>
      <c r="J131">
        <v>0</v>
      </c>
      <c r="K131" s="64" t="str">
        <f t="shared" si="5"/>
        <v/>
      </c>
    </row>
    <row r="132" spans="1:11" x14ac:dyDescent="0.2">
      <c r="A132">
        <v>117</v>
      </c>
      <c r="B132" s="8" t="s">
        <v>8</v>
      </c>
      <c r="C132" s="8" t="s">
        <v>8</v>
      </c>
      <c r="E132" t="s">
        <v>913</v>
      </c>
      <c r="F132" s="35">
        <v>0</v>
      </c>
      <c r="G132" s="16" t="str">
        <f t="shared" si="6"/>
        <v>fixed</v>
      </c>
      <c r="H132" s="16" t="str">
        <f t="shared" si="3"/>
        <v>no</v>
      </c>
      <c r="I132">
        <v>0</v>
      </c>
      <c r="J132">
        <v>0</v>
      </c>
      <c r="K132" s="64" t="str">
        <f t="shared" si="5"/>
        <v/>
      </c>
    </row>
    <row r="133" spans="1:11" x14ac:dyDescent="0.2">
      <c r="A133">
        <v>118</v>
      </c>
      <c r="B133" s="8" t="s">
        <v>8</v>
      </c>
      <c r="C133" s="8" t="s">
        <v>8</v>
      </c>
      <c r="E133" t="s">
        <v>914</v>
      </c>
      <c r="F133" s="35">
        <v>0</v>
      </c>
      <c r="G133" s="16" t="str">
        <f t="shared" si="6"/>
        <v>fixed</v>
      </c>
      <c r="H133" s="16" t="str">
        <f t="shared" si="3"/>
        <v>no</v>
      </c>
      <c r="I133">
        <v>0</v>
      </c>
      <c r="J133">
        <v>0</v>
      </c>
      <c r="K133" s="64" t="str">
        <f t="shared" si="5"/>
        <v/>
      </c>
    </row>
    <row r="134" spans="1:11" x14ac:dyDescent="0.2">
      <c r="A134">
        <v>119</v>
      </c>
      <c r="B134" s="8" t="s">
        <v>8</v>
      </c>
      <c r="C134" s="8" t="s">
        <v>8</v>
      </c>
      <c r="E134" t="s">
        <v>915</v>
      </c>
      <c r="F134" s="35">
        <v>0</v>
      </c>
      <c r="G134" s="16" t="str">
        <f t="shared" si="6"/>
        <v>fixed</v>
      </c>
      <c r="H134" s="16" t="str">
        <f t="shared" si="3"/>
        <v>no</v>
      </c>
      <c r="I134">
        <v>0</v>
      </c>
      <c r="J134">
        <v>0</v>
      </c>
      <c r="K134" s="64" t="str">
        <f t="shared" si="5"/>
        <v/>
      </c>
    </row>
    <row r="135" spans="1:11" x14ac:dyDescent="0.2">
      <c r="A135">
        <v>120</v>
      </c>
      <c r="B135" s="8" t="s">
        <v>8</v>
      </c>
      <c r="C135" s="8" t="s">
        <v>8</v>
      </c>
      <c r="E135" t="s">
        <v>916</v>
      </c>
      <c r="F135" s="35">
        <v>0</v>
      </c>
      <c r="G135" s="16" t="str">
        <f t="shared" si="6"/>
        <v>fixed</v>
      </c>
      <c r="H135" s="16" t="str">
        <f t="shared" si="3"/>
        <v>no</v>
      </c>
      <c r="I135">
        <v>0</v>
      </c>
      <c r="J135">
        <v>0</v>
      </c>
      <c r="K135" s="64" t="str">
        <f t="shared" si="5"/>
        <v/>
      </c>
    </row>
    <row r="136" spans="1:11" x14ac:dyDescent="0.2">
      <c r="A136">
        <v>121</v>
      </c>
      <c r="B136" s="8" t="s">
        <v>8</v>
      </c>
      <c r="C136" s="8" t="s">
        <v>8</v>
      </c>
      <c r="E136" t="s">
        <v>917</v>
      </c>
      <c r="F136" s="35">
        <v>0</v>
      </c>
      <c r="G136" s="16" t="str">
        <f t="shared" si="6"/>
        <v>fixed</v>
      </c>
      <c r="H136" s="16" t="str">
        <f t="shared" si="3"/>
        <v>no</v>
      </c>
      <c r="I136">
        <v>0</v>
      </c>
      <c r="J136">
        <v>0</v>
      </c>
      <c r="K136" s="64" t="str">
        <f t="shared" si="5"/>
        <v/>
      </c>
    </row>
    <row r="137" spans="1:11" x14ac:dyDescent="0.2">
      <c r="A137">
        <v>122</v>
      </c>
      <c r="B137" s="8" t="s">
        <v>8</v>
      </c>
      <c r="C137" s="8" t="s">
        <v>8</v>
      </c>
      <c r="E137" t="s">
        <v>918</v>
      </c>
      <c r="F137" s="35">
        <v>0</v>
      </c>
      <c r="G137" s="16" t="str">
        <f t="shared" si="6"/>
        <v>fixed</v>
      </c>
      <c r="H137" s="16" t="str">
        <f t="shared" si="3"/>
        <v>no</v>
      </c>
      <c r="I137">
        <v>0</v>
      </c>
      <c r="J137">
        <v>0</v>
      </c>
      <c r="K137" s="64" t="str">
        <f t="shared" si="5"/>
        <v/>
      </c>
    </row>
    <row r="138" spans="1:11" x14ac:dyDescent="0.2">
      <c r="A138">
        <v>123</v>
      </c>
      <c r="B138" s="8" t="s">
        <v>8</v>
      </c>
      <c r="C138" s="8" t="s">
        <v>8</v>
      </c>
      <c r="E138" t="s">
        <v>919</v>
      </c>
      <c r="F138" s="35">
        <v>0</v>
      </c>
      <c r="G138" s="16" t="str">
        <f t="shared" si="6"/>
        <v>fixed</v>
      </c>
      <c r="H138" s="16" t="str">
        <f t="shared" si="3"/>
        <v>no</v>
      </c>
      <c r="I138">
        <v>0</v>
      </c>
      <c r="J138">
        <v>0</v>
      </c>
      <c r="K138" s="64" t="str">
        <f t="shared" si="5"/>
        <v/>
      </c>
    </row>
    <row r="139" spans="1:11" x14ac:dyDescent="0.2">
      <c r="A139">
        <v>124</v>
      </c>
      <c r="B139" s="8" t="s">
        <v>8</v>
      </c>
      <c r="C139" s="8" t="s">
        <v>8</v>
      </c>
      <c r="E139" t="s">
        <v>920</v>
      </c>
      <c r="F139" s="35">
        <v>0</v>
      </c>
      <c r="G139" s="16" t="str">
        <f t="shared" si="6"/>
        <v>fixed</v>
      </c>
      <c r="H139" s="16" t="str">
        <f t="shared" si="3"/>
        <v>no</v>
      </c>
      <c r="I139">
        <v>0</v>
      </c>
      <c r="J139">
        <v>0</v>
      </c>
      <c r="K139" s="64" t="str">
        <f t="shared" si="5"/>
        <v/>
      </c>
    </row>
    <row r="140" spans="1:11" x14ac:dyDescent="0.2">
      <c r="A140">
        <v>125</v>
      </c>
      <c r="B140" s="8" t="s">
        <v>8</v>
      </c>
      <c r="C140" s="8" t="s">
        <v>8</v>
      </c>
      <c r="E140" t="s">
        <v>921</v>
      </c>
      <c r="F140" s="35">
        <v>0</v>
      </c>
      <c r="G140" s="16" t="str">
        <f t="shared" si="6"/>
        <v>fixed</v>
      </c>
      <c r="H140" s="16" t="str">
        <f t="shared" si="3"/>
        <v>no</v>
      </c>
      <c r="I140">
        <v>0</v>
      </c>
      <c r="J140">
        <v>0</v>
      </c>
      <c r="K140" s="64" t="str">
        <f t="shared" si="5"/>
        <v/>
      </c>
    </row>
    <row r="141" spans="1:11" x14ac:dyDescent="0.2">
      <c r="A141">
        <v>126</v>
      </c>
      <c r="B141" s="8" t="s">
        <v>8</v>
      </c>
      <c r="C141" s="8" t="s">
        <v>8</v>
      </c>
      <c r="E141" t="s">
        <v>922</v>
      </c>
      <c r="F141" s="35">
        <v>0</v>
      </c>
      <c r="G141" s="16" t="str">
        <f t="shared" si="6"/>
        <v>fixed</v>
      </c>
      <c r="H141" s="16" t="str">
        <f t="shared" si="3"/>
        <v>no</v>
      </c>
      <c r="I141">
        <v>0</v>
      </c>
      <c r="J141">
        <v>0</v>
      </c>
      <c r="K141" s="64" t="str">
        <f t="shared" si="5"/>
        <v/>
      </c>
    </row>
    <row r="142" spans="1:11" x14ac:dyDescent="0.2">
      <c r="A142">
        <v>127</v>
      </c>
      <c r="B142" s="8" t="s">
        <v>8</v>
      </c>
      <c r="C142" s="8" t="s">
        <v>8</v>
      </c>
      <c r="E142" t="s">
        <v>923</v>
      </c>
      <c r="F142" s="35">
        <v>0</v>
      </c>
      <c r="G142" s="16" t="str">
        <f t="shared" si="6"/>
        <v>fixed</v>
      </c>
      <c r="H142" s="16" t="str">
        <f t="shared" si="3"/>
        <v>no</v>
      </c>
      <c r="I142">
        <v>0</v>
      </c>
      <c r="J142">
        <v>0</v>
      </c>
      <c r="K142" s="64" t="str">
        <f t="shared" si="5"/>
        <v/>
      </c>
    </row>
    <row r="143" spans="1:11" x14ac:dyDescent="0.2">
      <c r="A143">
        <v>128</v>
      </c>
      <c r="B143" s="8" t="s">
        <v>8</v>
      </c>
      <c r="C143" s="8" t="s">
        <v>8</v>
      </c>
      <c r="E143" t="s">
        <v>924</v>
      </c>
      <c r="F143" s="35">
        <v>0</v>
      </c>
      <c r="G143" s="16" t="str">
        <f t="shared" si="6"/>
        <v>fixed</v>
      </c>
      <c r="H143" s="16" t="str">
        <f t="shared" si="3"/>
        <v>no</v>
      </c>
      <c r="I143">
        <v>0</v>
      </c>
      <c r="J143">
        <v>0</v>
      </c>
      <c r="K143" s="64" t="str">
        <f t="shared" si="5"/>
        <v/>
      </c>
    </row>
    <row r="144" spans="1:11" x14ac:dyDescent="0.2">
      <c r="A144">
        <v>129</v>
      </c>
      <c r="B144" s="8" t="s">
        <v>8</v>
      </c>
      <c r="C144" s="8" t="s">
        <v>8</v>
      </c>
      <c r="E144" t="s">
        <v>925</v>
      </c>
      <c r="F144" s="35">
        <v>0</v>
      </c>
      <c r="G144" s="16" t="str">
        <f t="shared" si="6"/>
        <v>fixed</v>
      </c>
      <c r="H144" s="16" t="str">
        <f t="shared" si="3"/>
        <v>no</v>
      </c>
      <c r="I144">
        <v>0</v>
      </c>
      <c r="J144">
        <v>0</v>
      </c>
      <c r="K144" s="64" t="str">
        <f t="shared" si="5"/>
        <v/>
      </c>
    </row>
    <row r="145" spans="1:12" x14ac:dyDescent="0.2">
      <c r="A145">
        <v>130</v>
      </c>
      <c r="B145" s="8" t="s">
        <v>8</v>
      </c>
      <c r="C145" s="8" t="s">
        <v>8</v>
      </c>
      <c r="E145" t="s">
        <v>926</v>
      </c>
      <c r="F145" s="35">
        <v>0</v>
      </c>
      <c r="G145" s="16" t="str">
        <f t="shared" si="6"/>
        <v>fixed</v>
      </c>
      <c r="H145" s="16" t="str">
        <f t="shared" ref="H145:H205" si="7">IF(G145="uniform",H$13,"no")</f>
        <v>no</v>
      </c>
      <c r="I145">
        <v>0</v>
      </c>
      <c r="J145">
        <v>0</v>
      </c>
      <c r="K145" s="64" t="str">
        <f t="shared" si="5"/>
        <v/>
      </c>
    </row>
    <row r="146" spans="1:12" x14ac:dyDescent="0.2">
      <c r="A146">
        <v>131</v>
      </c>
      <c r="B146" s="8" t="s">
        <v>8</v>
      </c>
      <c r="C146" s="8" t="s">
        <v>8</v>
      </c>
      <c r="E146" t="s">
        <v>927</v>
      </c>
      <c r="F146" s="35">
        <v>0</v>
      </c>
      <c r="G146" s="16" t="str">
        <f t="shared" si="6"/>
        <v>fixed</v>
      </c>
      <c r="H146" s="16" t="str">
        <f t="shared" si="7"/>
        <v>no</v>
      </c>
      <c r="I146">
        <v>0</v>
      </c>
      <c r="J146">
        <v>0</v>
      </c>
      <c r="K146" s="64" t="str">
        <f t="shared" si="5"/>
        <v/>
      </c>
    </row>
    <row r="147" spans="1:12" x14ac:dyDescent="0.2">
      <c r="A147">
        <v>132</v>
      </c>
      <c r="B147" s="8" t="s">
        <v>8</v>
      </c>
      <c r="C147" s="8" t="s">
        <v>8</v>
      </c>
      <c r="E147" t="s">
        <v>928</v>
      </c>
      <c r="F147" s="35">
        <v>0</v>
      </c>
      <c r="G147" s="16" t="str">
        <f t="shared" si="6"/>
        <v>fixed</v>
      </c>
      <c r="H147" s="16" t="str">
        <f t="shared" si="7"/>
        <v>no</v>
      </c>
      <c r="I147">
        <v>0</v>
      </c>
      <c r="J147">
        <v>0</v>
      </c>
      <c r="K147" s="64" t="str">
        <f t="shared" si="5"/>
        <v/>
      </c>
    </row>
    <row r="148" spans="1:12" x14ac:dyDescent="0.2">
      <c r="A148">
        <v>133</v>
      </c>
      <c r="B148" s="8" t="s">
        <v>8</v>
      </c>
      <c r="C148" s="8" t="s">
        <v>8</v>
      </c>
      <c r="E148" t="s">
        <v>929</v>
      </c>
      <c r="F148" s="35">
        <v>0</v>
      </c>
      <c r="G148" s="16" t="str">
        <f t="shared" si="6"/>
        <v>fixed</v>
      </c>
      <c r="H148" s="16" t="str">
        <f t="shared" si="7"/>
        <v>no</v>
      </c>
      <c r="I148">
        <v>0</v>
      </c>
      <c r="J148">
        <v>0</v>
      </c>
      <c r="K148" s="64" t="str">
        <f t="shared" si="5"/>
        <v/>
      </c>
    </row>
    <row r="149" spans="1:12" x14ac:dyDescent="0.2">
      <c r="A149">
        <v>134</v>
      </c>
      <c r="B149" s="8" t="s">
        <v>8</v>
      </c>
      <c r="C149" s="8" t="s">
        <v>8</v>
      </c>
      <c r="E149" t="s">
        <v>930</v>
      </c>
      <c r="F149" s="35">
        <v>0</v>
      </c>
      <c r="G149" s="16" t="str">
        <f t="shared" si="6"/>
        <v>fixed</v>
      </c>
      <c r="H149" s="16" t="str">
        <f t="shared" si="7"/>
        <v>no</v>
      </c>
      <c r="I149">
        <v>0</v>
      </c>
      <c r="J149">
        <v>0</v>
      </c>
      <c r="K149" s="64" t="str">
        <f t="shared" ref="K149:K205" si="8">IF(F149&lt;&gt;0,IF(J149-I149&gt;2,J149-I149,""),"")</f>
        <v/>
      </c>
    </row>
    <row r="150" spans="1:12" x14ac:dyDescent="0.2">
      <c r="A150">
        <v>135</v>
      </c>
      <c r="B150" s="8" t="s">
        <v>8</v>
      </c>
      <c r="C150" s="8" t="s">
        <v>8</v>
      </c>
      <c r="E150" t="s">
        <v>931</v>
      </c>
      <c r="F150" s="35">
        <v>0</v>
      </c>
      <c r="G150" s="16" t="str">
        <f t="shared" si="6"/>
        <v>fixed</v>
      </c>
      <c r="H150" s="16" t="str">
        <f t="shared" si="7"/>
        <v>no</v>
      </c>
      <c r="I150">
        <v>0</v>
      </c>
      <c r="J150">
        <v>0</v>
      </c>
      <c r="K150" s="64" t="str">
        <f t="shared" si="8"/>
        <v/>
      </c>
    </row>
    <row r="151" spans="1:12" x14ac:dyDescent="0.2">
      <c r="A151">
        <v>136</v>
      </c>
      <c r="B151" s="8" t="s">
        <v>8</v>
      </c>
      <c r="C151" s="8" t="s">
        <v>8</v>
      </c>
      <c r="E151" t="s">
        <v>932</v>
      </c>
      <c r="F151" s="35">
        <v>0</v>
      </c>
      <c r="G151" s="16" t="str">
        <f t="shared" si="6"/>
        <v>fixed</v>
      </c>
      <c r="H151" s="16" t="str">
        <f t="shared" si="7"/>
        <v>no</v>
      </c>
      <c r="I151">
        <v>0</v>
      </c>
      <c r="J151">
        <v>0</v>
      </c>
      <c r="K151" s="64" t="str">
        <f t="shared" si="8"/>
        <v/>
      </c>
    </row>
    <row r="152" spans="1:12" x14ac:dyDescent="0.2">
      <c r="A152">
        <v>137</v>
      </c>
      <c r="B152" s="8" t="s">
        <v>8</v>
      </c>
      <c r="C152" s="8" t="s">
        <v>8</v>
      </c>
      <c r="E152" t="s">
        <v>933</v>
      </c>
      <c r="F152" s="35">
        <v>0</v>
      </c>
      <c r="G152" s="16" t="str">
        <f>IF(I152=J152,"fixed",IF(I152=0,"fixed","uniform"))</f>
        <v>fixed</v>
      </c>
      <c r="H152" s="16" t="str">
        <f t="shared" si="7"/>
        <v>no</v>
      </c>
      <c r="I152">
        <v>0</v>
      </c>
      <c r="J152">
        <v>0</v>
      </c>
      <c r="K152" s="64" t="str">
        <f t="shared" si="8"/>
        <v/>
      </c>
    </row>
    <row r="153" spans="1:12" x14ac:dyDescent="0.2">
      <c r="A153">
        <v>138</v>
      </c>
      <c r="B153" s="8" t="s">
        <v>8</v>
      </c>
      <c r="C153" s="8" t="s">
        <v>8</v>
      </c>
      <c r="E153" t="s">
        <v>934</v>
      </c>
      <c r="F153" s="35">
        <v>0</v>
      </c>
      <c r="G153" s="16" t="str">
        <f t="shared" si="6"/>
        <v>fixed</v>
      </c>
      <c r="H153" s="16" t="str">
        <f t="shared" si="7"/>
        <v>no</v>
      </c>
      <c r="I153">
        <v>0</v>
      </c>
      <c r="J153">
        <v>0</v>
      </c>
      <c r="K153" s="64" t="str">
        <f t="shared" si="8"/>
        <v/>
      </c>
    </row>
    <row r="154" spans="1:12" x14ac:dyDescent="0.2">
      <c r="A154">
        <v>139</v>
      </c>
      <c r="B154" s="8" t="s">
        <v>8</v>
      </c>
      <c r="C154" s="8" t="s">
        <v>8</v>
      </c>
      <c r="E154" t="s">
        <v>935</v>
      </c>
      <c r="F154" s="35">
        <v>0</v>
      </c>
      <c r="G154" s="16" t="str">
        <f t="shared" si="6"/>
        <v>fixed</v>
      </c>
      <c r="H154" s="16" t="str">
        <f t="shared" si="7"/>
        <v>no</v>
      </c>
      <c r="I154">
        <v>0</v>
      </c>
      <c r="J154">
        <v>0</v>
      </c>
      <c r="K154" s="64" t="str">
        <f t="shared" si="8"/>
        <v/>
      </c>
    </row>
    <row r="155" spans="1:12" x14ac:dyDescent="0.2">
      <c r="A155">
        <v>140</v>
      </c>
      <c r="B155" s="8" t="s">
        <v>8</v>
      </c>
      <c r="C155" s="8" t="s">
        <v>8</v>
      </c>
      <c r="E155" t="s">
        <v>936</v>
      </c>
      <c r="F155" s="35">
        <v>0</v>
      </c>
      <c r="G155" s="16" t="str">
        <f t="shared" si="6"/>
        <v>fixed</v>
      </c>
      <c r="H155" s="16" t="str">
        <f t="shared" si="7"/>
        <v>no</v>
      </c>
      <c r="I155">
        <v>0</v>
      </c>
      <c r="J155">
        <v>0</v>
      </c>
      <c r="K155" s="64" t="str">
        <f t="shared" si="8"/>
        <v/>
      </c>
      <c r="L155" s="51"/>
    </row>
    <row r="156" spans="1:12" x14ac:dyDescent="0.2">
      <c r="A156">
        <v>141</v>
      </c>
      <c r="B156" s="8" t="s">
        <v>8</v>
      </c>
      <c r="C156" s="8" t="s">
        <v>8</v>
      </c>
      <c r="E156" t="s">
        <v>937</v>
      </c>
      <c r="F156" s="35">
        <v>0</v>
      </c>
      <c r="G156" s="16" t="str">
        <f t="shared" si="6"/>
        <v>fixed</v>
      </c>
      <c r="H156" s="16" t="str">
        <f t="shared" si="7"/>
        <v>no</v>
      </c>
      <c r="I156">
        <v>0</v>
      </c>
      <c r="J156">
        <v>0</v>
      </c>
      <c r="K156" s="64" t="str">
        <f t="shared" si="8"/>
        <v/>
      </c>
      <c r="L156" s="51"/>
    </row>
    <row r="157" spans="1:12" x14ac:dyDescent="0.2">
      <c r="A157">
        <v>142</v>
      </c>
      <c r="B157" s="8" t="s">
        <v>8</v>
      </c>
      <c r="C157" s="8" t="s">
        <v>8</v>
      </c>
      <c r="E157" t="s">
        <v>938</v>
      </c>
      <c r="F157" s="35">
        <v>0</v>
      </c>
      <c r="G157" s="16" t="str">
        <f t="shared" si="6"/>
        <v>fixed</v>
      </c>
      <c r="H157" s="16" t="str">
        <f t="shared" si="7"/>
        <v>no</v>
      </c>
      <c r="I157">
        <v>0</v>
      </c>
      <c r="J157">
        <v>0</v>
      </c>
      <c r="K157" s="64" t="str">
        <f t="shared" si="8"/>
        <v/>
      </c>
    </row>
    <row r="158" spans="1:12" x14ac:dyDescent="0.2">
      <c r="A158">
        <v>143</v>
      </c>
      <c r="B158" s="8" t="s">
        <v>8</v>
      </c>
      <c r="C158" s="8" t="s">
        <v>8</v>
      </c>
      <c r="E158" t="s">
        <v>939</v>
      </c>
      <c r="F158" s="35">
        <v>0</v>
      </c>
      <c r="G158" s="16" t="str">
        <f t="shared" si="6"/>
        <v>fixed</v>
      </c>
      <c r="H158" s="16" t="str">
        <f t="shared" si="7"/>
        <v>no</v>
      </c>
      <c r="I158">
        <v>0</v>
      </c>
      <c r="J158">
        <v>0</v>
      </c>
      <c r="K158" s="64" t="str">
        <f t="shared" si="8"/>
        <v/>
      </c>
    </row>
    <row r="159" spans="1:12" x14ac:dyDescent="0.2">
      <c r="A159">
        <v>144</v>
      </c>
      <c r="B159" s="8" t="s">
        <v>8</v>
      </c>
      <c r="C159" s="8" t="s">
        <v>8</v>
      </c>
      <c r="E159" t="s">
        <v>940</v>
      </c>
      <c r="F159" s="35">
        <v>0</v>
      </c>
      <c r="G159" s="16" t="str">
        <f t="shared" si="6"/>
        <v>fixed</v>
      </c>
      <c r="H159" s="16" t="str">
        <f t="shared" si="7"/>
        <v>no</v>
      </c>
      <c r="I159">
        <v>0</v>
      </c>
      <c r="J159">
        <v>0</v>
      </c>
      <c r="K159" s="64" t="str">
        <f t="shared" si="8"/>
        <v/>
      </c>
    </row>
    <row r="160" spans="1:12" x14ac:dyDescent="0.2">
      <c r="A160">
        <v>145</v>
      </c>
      <c r="B160" s="8" t="s">
        <v>8</v>
      </c>
      <c r="C160" s="8" t="s">
        <v>8</v>
      </c>
      <c r="E160" t="s">
        <v>941</v>
      </c>
      <c r="F160" s="35">
        <v>0</v>
      </c>
      <c r="G160" s="16" t="str">
        <f t="shared" si="6"/>
        <v>fixed</v>
      </c>
      <c r="H160" s="16" t="str">
        <f t="shared" si="7"/>
        <v>no</v>
      </c>
      <c r="I160">
        <v>0</v>
      </c>
      <c r="J160">
        <v>0</v>
      </c>
      <c r="K160" s="64" t="str">
        <f t="shared" si="8"/>
        <v/>
      </c>
    </row>
    <row r="161" spans="1:11" x14ac:dyDescent="0.2">
      <c r="A161">
        <v>146</v>
      </c>
      <c r="B161" s="8" t="s">
        <v>8</v>
      </c>
      <c r="C161" s="8" t="s">
        <v>8</v>
      </c>
      <c r="E161" t="s">
        <v>942</v>
      </c>
      <c r="F161" s="35">
        <v>0</v>
      </c>
      <c r="G161" s="16" t="str">
        <f t="shared" si="6"/>
        <v>fixed</v>
      </c>
      <c r="H161" s="16" t="str">
        <f t="shared" si="7"/>
        <v>no</v>
      </c>
      <c r="I161">
        <v>0</v>
      </c>
      <c r="J161">
        <v>0</v>
      </c>
      <c r="K161" s="64" t="str">
        <f t="shared" si="8"/>
        <v/>
      </c>
    </row>
    <row r="162" spans="1:11" x14ac:dyDescent="0.2">
      <c r="A162">
        <v>147</v>
      </c>
      <c r="B162" s="8" t="s">
        <v>8</v>
      </c>
      <c r="C162" s="8" t="s">
        <v>8</v>
      </c>
      <c r="E162" t="s">
        <v>943</v>
      </c>
      <c r="F162" s="35">
        <v>0</v>
      </c>
      <c r="G162" s="16" t="str">
        <f t="shared" si="6"/>
        <v>fixed</v>
      </c>
      <c r="H162" s="16" t="str">
        <f t="shared" si="7"/>
        <v>no</v>
      </c>
      <c r="I162">
        <v>0</v>
      </c>
      <c r="J162">
        <v>0</v>
      </c>
      <c r="K162" s="64" t="str">
        <f t="shared" si="8"/>
        <v/>
      </c>
    </row>
    <row r="163" spans="1:11" x14ac:dyDescent="0.2">
      <c r="A163">
        <v>148</v>
      </c>
      <c r="B163" s="8" t="s">
        <v>8</v>
      </c>
      <c r="C163" s="8" t="s">
        <v>8</v>
      </c>
      <c r="E163" t="s">
        <v>944</v>
      </c>
      <c r="F163" s="35">
        <v>0</v>
      </c>
      <c r="G163" s="16" t="str">
        <f t="shared" si="6"/>
        <v>fixed</v>
      </c>
      <c r="H163" s="16" t="str">
        <f t="shared" si="7"/>
        <v>no</v>
      </c>
      <c r="I163">
        <v>0</v>
      </c>
      <c r="J163">
        <v>0</v>
      </c>
      <c r="K163" s="64" t="str">
        <f t="shared" si="8"/>
        <v/>
      </c>
    </row>
    <row r="164" spans="1:11" x14ac:dyDescent="0.2">
      <c r="A164">
        <v>149</v>
      </c>
      <c r="B164" s="8" t="s">
        <v>8</v>
      </c>
      <c r="C164" s="8" t="s">
        <v>8</v>
      </c>
      <c r="E164" t="s">
        <v>945</v>
      </c>
      <c r="F164" s="35">
        <v>0</v>
      </c>
      <c r="G164" s="16" t="str">
        <f t="shared" si="6"/>
        <v>fixed</v>
      </c>
      <c r="H164" s="16" t="str">
        <f t="shared" si="7"/>
        <v>no</v>
      </c>
      <c r="I164" s="65">
        <v>0</v>
      </c>
      <c r="J164" s="65">
        <v>0</v>
      </c>
      <c r="K164" s="64" t="str">
        <f t="shared" si="8"/>
        <v/>
      </c>
    </row>
    <row r="165" spans="1:11" x14ac:dyDescent="0.2">
      <c r="A165">
        <v>150</v>
      </c>
      <c r="B165" s="8" t="s">
        <v>8</v>
      </c>
      <c r="C165" s="8" t="s">
        <v>8</v>
      </c>
      <c r="E165" t="s">
        <v>946</v>
      </c>
      <c r="F165" s="35">
        <v>0</v>
      </c>
      <c r="G165" s="16" t="str">
        <f t="shared" si="6"/>
        <v>fixed</v>
      </c>
      <c r="H165" s="16" t="str">
        <f t="shared" si="7"/>
        <v>no</v>
      </c>
      <c r="I165" s="65">
        <v>0</v>
      </c>
      <c r="J165" s="65">
        <v>0</v>
      </c>
      <c r="K165" s="64" t="str">
        <f t="shared" si="8"/>
        <v/>
      </c>
    </row>
    <row r="166" spans="1:11" x14ac:dyDescent="0.2">
      <c r="A166">
        <v>151</v>
      </c>
      <c r="B166" s="8" t="s">
        <v>8</v>
      </c>
      <c r="C166" s="8" t="s">
        <v>8</v>
      </c>
      <c r="E166" t="s">
        <v>947</v>
      </c>
      <c r="F166" s="35">
        <v>0</v>
      </c>
      <c r="G166" s="16" t="str">
        <f t="shared" si="6"/>
        <v>fixed</v>
      </c>
      <c r="H166" s="16" t="str">
        <f t="shared" si="7"/>
        <v>no</v>
      </c>
      <c r="I166" s="65">
        <v>0</v>
      </c>
      <c r="J166" s="65">
        <v>0</v>
      </c>
      <c r="K166" s="64" t="str">
        <f t="shared" si="8"/>
        <v/>
      </c>
    </row>
    <row r="167" spans="1:11" x14ac:dyDescent="0.2">
      <c r="A167">
        <v>152</v>
      </c>
      <c r="B167" s="8" t="s">
        <v>8</v>
      </c>
      <c r="C167" s="8" t="s">
        <v>8</v>
      </c>
      <c r="E167" t="s">
        <v>948</v>
      </c>
      <c r="F167" s="35">
        <v>0.12</v>
      </c>
      <c r="G167" s="16" t="str">
        <f t="shared" si="6"/>
        <v>fixed</v>
      </c>
      <c r="H167" s="16" t="str">
        <f t="shared" si="7"/>
        <v>no</v>
      </c>
      <c r="I167" s="66">
        <v>0.12</v>
      </c>
      <c r="J167" s="66">
        <v>0.12</v>
      </c>
      <c r="K167" s="64" t="str">
        <f t="shared" si="8"/>
        <v/>
      </c>
    </row>
    <row r="168" spans="1:11" x14ac:dyDescent="0.2">
      <c r="A168">
        <v>153</v>
      </c>
      <c r="B168" s="8" t="s">
        <v>8</v>
      </c>
      <c r="C168" s="8" t="s">
        <v>8</v>
      </c>
      <c r="E168" t="s">
        <v>949</v>
      </c>
      <c r="F168" s="35">
        <v>0.12</v>
      </c>
      <c r="G168" s="16" t="str">
        <f t="shared" si="6"/>
        <v>fixed</v>
      </c>
      <c r="H168" s="16" t="str">
        <f t="shared" si="7"/>
        <v>no</v>
      </c>
      <c r="I168" s="66">
        <v>0.12</v>
      </c>
      <c r="J168" s="66">
        <v>0.12</v>
      </c>
      <c r="K168" s="64" t="str">
        <f t="shared" si="8"/>
        <v/>
      </c>
    </row>
    <row r="169" spans="1:11" x14ac:dyDescent="0.2">
      <c r="A169">
        <v>154</v>
      </c>
      <c r="B169" s="8" t="s">
        <v>8</v>
      </c>
      <c r="C169" s="8" t="s">
        <v>8</v>
      </c>
      <c r="E169" t="s">
        <v>950</v>
      </c>
      <c r="F169" s="35">
        <v>0.1</v>
      </c>
      <c r="G169" s="16" t="str">
        <f t="shared" si="6"/>
        <v>fixed</v>
      </c>
      <c r="H169" s="16" t="str">
        <f t="shared" si="7"/>
        <v>no</v>
      </c>
      <c r="I169" s="65">
        <v>0.1</v>
      </c>
      <c r="J169" s="65">
        <v>0.1</v>
      </c>
      <c r="K169" s="64" t="str">
        <f t="shared" si="8"/>
        <v/>
      </c>
    </row>
    <row r="170" spans="1:11" x14ac:dyDescent="0.2">
      <c r="A170">
        <v>155</v>
      </c>
      <c r="B170" s="8" t="s">
        <v>8</v>
      </c>
      <c r="C170" s="8" t="s">
        <v>8</v>
      </c>
      <c r="E170" t="s">
        <v>951</v>
      </c>
      <c r="F170" s="35">
        <v>2.1</v>
      </c>
      <c r="G170" s="16" t="str">
        <f t="shared" si="6"/>
        <v>fixed</v>
      </c>
      <c r="H170" s="16" t="str">
        <f t="shared" si="7"/>
        <v>no</v>
      </c>
      <c r="I170" s="65">
        <v>2.1</v>
      </c>
      <c r="J170" s="65">
        <v>2.1</v>
      </c>
      <c r="K170" s="64" t="str">
        <f t="shared" si="8"/>
        <v/>
      </c>
    </row>
    <row r="171" spans="1:11" x14ac:dyDescent="0.2">
      <c r="A171">
        <v>156</v>
      </c>
      <c r="B171" s="8" t="s">
        <v>8</v>
      </c>
      <c r="C171" s="8" t="s">
        <v>8</v>
      </c>
      <c r="E171" t="s">
        <v>952</v>
      </c>
      <c r="F171" s="35">
        <v>0.01</v>
      </c>
      <c r="G171" s="16" t="str">
        <f t="shared" si="6"/>
        <v>fixed</v>
      </c>
      <c r="H171" s="16" t="str">
        <f t="shared" si="7"/>
        <v>no</v>
      </c>
      <c r="I171" s="65">
        <v>0.01</v>
      </c>
      <c r="J171" s="65">
        <v>0.01</v>
      </c>
      <c r="K171" s="64" t="str">
        <f t="shared" si="8"/>
        <v/>
      </c>
    </row>
    <row r="172" spans="1:11" x14ac:dyDescent="0.2">
      <c r="A172">
        <v>157</v>
      </c>
      <c r="B172" s="8" t="s">
        <v>8</v>
      </c>
      <c r="C172" s="8" t="s">
        <v>8</v>
      </c>
      <c r="E172" t="s">
        <v>953</v>
      </c>
      <c r="F172" s="35">
        <v>0.01</v>
      </c>
      <c r="G172" s="16" t="str">
        <f t="shared" si="6"/>
        <v>fixed</v>
      </c>
      <c r="H172" s="16" t="str">
        <f t="shared" si="7"/>
        <v>no</v>
      </c>
      <c r="I172" s="65">
        <v>0.01</v>
      </c>
      <c r="J172" s="65">
        <v>0.01</v>
      </c>
      <c r="K172" s="64" t="str">
        <f t="shared" si="8"/>
        <v/>
      </c>
    </row>
    <row r="173" spans="1:11" x14ac:dyDescent="0.2">
      <c r="A173">
        <v>158</v>
      </c>
      <c r="B173" s="8" t="s">
        <v>8</v>
      </c>
      <c r="C173" s="8" t="s">
        <v>8</v>
      </c>
      <c r="E173" t="s">
        <v>954</v>
      </c>
      <c r="F173" s="35">
        <v>0.01</v>
      </c>
      <c r="G173" s="16" t="str">
        <f t="shared" si="6"/>
        <v>fixed</v>
      </c>
      <c r="H173" s="16" t="str">
        <f t="shared" si="7"/>
        <v>no</v>
      </c>
      <c r="I173" s="65">
        <v>0.01</v>
      </c>
      <c r="J173" s="65">
        <v>0.01</v>
      </c>
      <c r="K173" s="64" t="str">
        <f t="shared" si="8"/>
        <v/>
      </c>
    </row>
    <row r="174" spans="1:11" x14ac:dyDescent="0.2">
      <c r="A174">
        <v>159</v>
      </c>
      <c r="B174" s="8" t="s">
        <v>8</v>
      </c>
      <c r="C174" s="8" t="s">
        <v>8</v>
      </c>
      <c r="E174" t="s">
        <v>955</v>
      </c>
      <c r="F174" s="35">
        <v>0</v>
      </c>
      <c r="G174" s="16" t="str">
        <f t="shared" si="6"/>
        <v>fixed</v>
      </c>
      <c r="H174" s="16" t="str">
        <f t="shared" si="7"/>
        <v>no</v>
      </c>
      <c r="I174" s="65">
        <v>0</v>
      </c>
      <c r="J174" s="65">
        <v>0</v>
      </c>
      <c r="K174" s="64" t="str">
        <f t="shared" si="8"/>
        <v/>
      </c>
    </row>
    <row r="175" spans="1:11" x14ac:dyDescent="0.2">
      <c r="A175">
        <v>160</v>
      </c>
      <c r="B175" s="8" t="s">
        <v>8</v>
      </c>
      <c r="C175" s="8" t="s">
        <v>8</v>
      </c>
      <c r="E175" t="s">
        <v>956</v>
      </c>
      <c r="F175" s="35">
        <v>0</v>
      </c>
      <c r="G175" s="16" t="str">
        <f t="shared" si="6"/>
        <v>fixed</v>
      </c>
      <c r="H175" s="16" t="str">
        <f t="shared" si="7"/>
        <v>no</v>
      </c>
      <c r="I175">
        <v>0</v>
      </c>
      <c r="J175">
        <v>0</v>
      </c>
      <c r="K175" s="64" t="str">
        <f t="shared" si="8"/>
        <v/>
      </c>
    </row>
    <row r="176" spans="1:11" x14ac:dyDescent="0.2">
      <c r="A176">
        <v>161</v>
      </c>
      <c r="B176" s="8" t="s">
        <v>8</v>
      </c>
      <c r="C176" s="8" t="s">
        <v>8</v>
      </c>
      <c r="E176" t="s">
        <v>957</v>
      </c>
      <c r="F176" s="35">
        <v>0</v>
      </c>
      <c r="G176" s="16" t="str">
        <f t="shared" si="6"/>
        <v>fixed</v>
      </c>
      <c r="H176" s="16" t="str">
        <f t="shared" si="7"/>
        <v>no</v>
      </c>
      <c r="I176">
        <v>0</v>
      </c>
      <c r="J176">
        <v>0</v>
      </c>
      <c r="K176" s="64" t="str">
        <f t="shared" si="8"/>
        <v/>
      </c>
    </row>
    <row r="177" spans="1:11" x14ac:dyDescent="0.2">
      <c r="A177">
        <v>162</v>
      </c>
      <c r="B177" s="8" t="s">
        <v>8</v>
      </c>
      <c r="C177" s="8" t="s">
        <v>8</v>
      </c>
      <c r="E177" t="s">
        <v>958</v>
      </c>
      <c r="F177" s="35">
        <v>0</v>
      </c>
      <c r="G177" s="16" t="str">
        <f t="shared" si="6"/>
        <v>fixed</v>
      </c>
      <c r="H177" s="16" t="str">
        <f t="shared" si="7"/>
        <v>no</v>
      </c>
      <c r="I177">
        <v>0</v>
      </c>
      <c r="J177">
        <v>0</v>
      </c>
      <c r="K177" s="64" t="str">
        <f t="shared" si="8"/>
        <v/>
      </c>
    </row>
    <row r="178" spans="1:11" x14ac:dyDescent="0.2">
      <c r="A178">
        <v>163</v>
      </c>
      <c r="B178" s="8" t="s">
        <v>8</v>
      </c>
      <c r="C178" s="8" t="s">
        <v>8</v>
      </c>
      <c r="E178" t="s">
        <v>959</v>
      </c>
      <c r="F178" s="35">
        <v>0</v>
      </c>
      <c r="G178" s="16" t="str">
        <f t="shared" si="6"/>
        <v>fixed</v>
      </c>
      <c r="H178" s="16" t="str">
        <f t="shared" si="7"/>
        <v>no</v>
      </c>
      <c r="I178">
        <v>0</v>
      </c>
      <c r="J178">
        <v>0</v>
      </c>
      <c r="K178" s="64" t="str">
        <f t="shared" si="8"/>
        <v/>
      </c>
    </row>
    <row r="179" spans="1:11" x14ac:dyDescent="0.2">
      <c r="A179">
        <v>164</v>
      </c>
      <c r="B179" s="8" t="s">
        <v>8</v>
      </c>
      <c r="C179" s="8" t="s">
        <v>8</v>
      </c>
      <c r="E179" t="s">
        <v>960</v>
      </c>
      <c r="F179" s="35">
        <v>0</v>
      </c>
      <c r="G179" s="16" t="str">
        <f t="shared" si="6"/>
        <v>fixed</v>
      </c>
      <c r="H179" s="16" t="str">
        <f t="shared" si="7"/>
        <v>no</v>
      </c>
      <c r="I179">
        <v>0</v>
      </c>
      <c r="J179">
        <v>0</v>
      </c>
      <c r="K179" s="64" t="str">
        <f t="shared" si="8"/>
        <v/>
      </c>
    </row>
    <row r="180" spans="1:11" x14ac:dyDescent="0.2">
      <c r="A180">
        <v>165</v>
      </c>
      <c r="B180" s="8" t="s">
        <v>8</v>
      </c>
      <c r="C180" s="8" t="s">
        <v>8</v>
      </c>
      <c r="E180" t="s">
        <v>961</v>
      </c>
      <c r="F180" s="35">
        <v>0</v>
      </c>
      <c r="G180" s="16" t="str">
        <f t="shared" si="6"/>
        <v>fixed</v>
      </c>
      <c r="H180" s="16" t="str">
        <f t="shared" si="7"/>
        <v>no</v>
      </c>
      <c r="I180">
        <v>0</v>
      </c>
      <c r="J180">
        <v>0</v>
      </c>
      <c r="K180" s="64" t="str">
        <f t="shared" si="8"/>
        <v/>
      </c>
    </row>
    <row r="181" spans="1:11" x14ac:dyDescent="0.2">
      <c r="A181">
        <v>166</v>
      </c>
      <c r="B181" s="8" t="s">
        <v>8</v>
      </c>
      <c r="C181" s="8" t="s">
        <v>8</v>
      </c>
      <c r="E181" t="s">
        <v>962</v>
      </c>
      <c r="F181" s="35">
        <v>0</v>
      </c>
      <c r="G181" s="16" t="str">
        <f t="shared" si="6"/>
        <v>fixed</v>
      </c>
      <c r="H181" s="16" t="str">
        <f t="shared" si="7"/>
        <v>no</v>
      </c>
      <c r="I181">
        <v>0</v>
      </c>
      <c r="J181">
        <v>0</v>
      </c>
      <c r="K181" s="64" t="str">
        <f t="shared" si="8"/>
        <v/>
      </c>
    </row>
    <row r="182" spans="1:11" x14ac:dyDescent="0.2">
      <c r="A182">
        <v>167</v>
      </c>
      <c r="B182" s="8" t="s">
        <v>8</v>
      </c>
      <c r="C182" s="8" t="s">
        <v>8</v>
      </c>
      <c r="E182" t="s">
        <v>963</v>
      </c>
      <c r="F182" s="35">
        <v>0</v>
      </c>
      <c r="G182" s="16" t="str">
        <f t="shared" si="6"/>
        <v>fixed</v>
      </c>
      <c r="H182" s="16" t="str">
        <f t="shared" si="7"/>
        <v>no</v>
      </c>
      <c r="I182">
        <v>0</v>
      </c>
      <c r="J182">
        <v>0</v>
      </c>
      <c r="K182" s="64" t="str">
        <f t="shared" si="8"/>
        <v/>
      </c>
    </row>
    <row r="183" spans="1:11" x14ac:dyDescent="0.2">
      <c r="A183">
        <v>168</v>
      </c>
      <c r="B183" s="8" t="s">
        <v>8</v>
      </c>
      <c r="C183" s="8" t="s">
        <v>8</v>
      </c>
      <c r="E183" t="s">
        <v>964</v>
      </c>
      <c r="F183" s="35">
        <v>0</v>
      </c>
      <c r="G183" s="16" t="str">
        <f t="shared" si="6"/>
        <v>fixed</v>
      </c>
      <c r="H183" s="16" t="str">
        <f t="shared" si="7"/>
        <v>no</v>
      </c>
      <c r="I183">
        <v>0</v>
      </c>
      <c r="J183">
        <v>0</v>
      </c>
      <c r="K183" s="64" t="str">
        <f t="shared" si="8"/>
        <v/>
      </c>
    </row>
    <row r="184" spans="1:11" x14ac:dyDescent="0.2">
      <c r="A184">
        <v>169</v>
      </c>
      <c r="B184" s="8" t="s">
        <v>8</v>
      </c>
      <c r="C184" s="8" t="s">
        <v>8</v>
      </c>
      <c r="E184" t="s">
        <v>965</v>
      </c>
      <c r="F184" s="35">
        <v>0</v>
      </c>
      <c r="G184" s="16" t="str">
        <f t="shared" si="6"/>
        <v>fixed</v>
      </c>
      <c r="H184" s="16" t="str">
        <f t="shared" si="7"/>
        <v>no</v>
      </c>
      <c r="I184">
        <v>0</v>
      </c>
      <c r="J184">
        <v>0</v>
      </c>
      <c r="K184" s="64" t="str">
        <f t="shared" si="8"/>
        <v/>
      </c>
    </row>
    <row r="185" spans="1:11" x14ac:dyDescent="0.2">
      <c r="A185">
        <v>170</v>
      </c>
      <c r="B185" s="8" t="s">
        <v>8</v>
      </c>
      <c r="C185" s="8" t="s">
        <v>8</v>
      </c>
      <c r="E185" t="s">
        <v>966</v>
      </c>
      <c r="F185" s="35">
        <v>0</v>
      </c>
      <c r="G185" s="16" t="str">
        <f t="shared" si="6"/>
        <v>fixed</v>
      </c>
      <c r="H185" s="16" t="str">
        <f t="shared" si="7"/>
        <v>no</v>
      </c>
      <c r="I185">
        <v>0</v>
      </c>
      <c r="J185">
        <v>0</v>
      </c>
      <c r="K185" s="64" t="str">
        <f t="shared" si="8"/>
        <v/>
      </c>
    </row>
    <row r="186" spans="1:11" x14ac:dyDescent="0.2">
      <c r="A186">
        <v>171</v>
      </c>
      <c r="B186" s="8" t="s">
        <v>8</v>
      </c>
      <c r="C186" s="8" t="s">
        <v>8</v>
      </c>
      <c r="E186" t="s">
        <v>967</v>
      </c>
      <c r="F186" s="35">
        <v>0</v>
      </c>
      <c r="G186" s="16" t="str">
        <f t="shared" si="6"/>
        <v>fixed</v>
      </c>
      <c r="H186" s="16" t="str">
        <f t="shared" si="7"/>
        <v>no</v>
      </c>
      <c r="I186">
        <v>0</v>
      </c>
      <c r="J186">
        <v>0</v>
      </c>
      <c r="K186" s="64" t="str">
        <f t="shared" si="8"/>
        <v/>
      </c>
    </row>
    <row r="187" spans="1:11" x14ac:dyDescent="0.2">
      <c r="A187">
        <v>172</v>
      </c>
      <c r="B187" s="8" t="s">
        <v>8</v>
      </c>
      <c r="C187" s="8" t="s">
        <v>8</v>
      </c>
      <c r="E187" t="s">
        <v>968</v>
      </c>
      <c r="F187" s="35">
        <v>0</v>
      </c>
      <c r="G187" s="16" t="str">
        <f t="shared" si="6"/>
        <v>fixed</v>
      </c>
      <c r="H187" s="16" t="str">
        <f t="shared" si="7"/>
        <v>no</v>
      </c>
      <c r="I187">
        <v>0</v>
      </c>
      <c r="J187">
        <v>0</v>
      </c>
      <c r="K187" s="64" t="str">
        <f t="shared" si="8"/>
        <v/>
      </c>
    </row>
    <row r="188" spans="1:11" x14ac:dyDescent="0.2">
      <c r="A188">
        <v>173</v>
      </c>
      <c r="B188" s="8" t="s">
        <v>8</v>
      </c>
      <c r="C188" s="8" t="s">
        <v>8</v>
      </c>
      <c r="E188" t="s">
        <v>969</v>
      </c>
      <c r="F188" s="35">
        <v>0</v>
      </c>
      <c r="G188" s="16" t="str">
        <f t="shared" si="6"/>
        <v>fixed</v>
      </c>
      <c r="H188" s="16" t="str">
        <f t="shared" si="7"/>
        <v>no</v>
      </c>
      <c r="I188">
        <v>0</v>
      </c>
      <c r="J188">
        <v>0</v>
      </c>
      <c r="K188" s="64" t="str">
        <f t="shared" si="8"/>
        <v/>
      </c>
    </row>
    <row r="189" spans="1:11" x14ac:dyDescent="0.2">
      <c r="A189">
        <v>174</v>
      </c>
      <c r="B189" s="8" t="s">
        <v>8</v>
      </c>
      <c r="C189" s="8" t="s">
        <v>8</v>
      </c>
      <c r="E189" t="s">
        <v>970</v>
      </c>
      <c r="F189" s="35">
        <v>0</v>
      </c>
      <c r="G189" s="16" t="str">
        <f t="shared" si="6"/>
        <v>fixed</v>
      </c>
      <c r="H189" s="16" t="str">
        <f t="shared" si="7"/>
        <v>no</v>
      </c>
      <c r="I189">
        <v>0</v>
      </c>
      <c r="J189">
        <v>0</v>
      </c>
      <c r="K189" s="64" t="str">
        <f t="shared" si="8"/>
        <v/>
      </c>
    </row>
    <row r="190" spans="1:11" x14ac:dyDescent="0.2">
      <c r="A190">
        <v>175</v>
      </c>
      <c r="B190" s="8" t="s">
        <v>8</v>
      </c>
      <c r="C190" s="8" t="s">
        <v>8</v>
      </c>
      <c r="E190" t="s">
        <v>971</v>
      </c>
      <c r="F190" s="35">
        <v>0</v>
      </c>
      <c r="G190" s="16" t="str">
        <f t="shared" si="6"/>
        <v>fixed</v>
      </c>
      <c r="H190" s="16" t="str">
        <f t="shared" si="7"/>
        <v>no</v>
      </c>
      <c r="I190">
        <v>0</v>
      </c>
      <c r="J190">
        <v>0</v>
      </c>
      <c r="K190" s="64" t="str">
        <f t="shared" si="8"/>
        <v/>
      </c>
    </row>
    <row r="191" spans="1:11" x14ac:dyDescent="0.2">
      <c r="A191">
        <v>176</v>
      </c>
      <c r="B191" s="8" t="s">
        <v>8</v>
      </c>
      <c r="C191" s="8" t="s">
        <v>8</v>
      </c>
      <c r="E191" t="s">
        <v>972</v>
      </c>
      <c r="F191" s="35">
        <v>0</v>
      </c>
      <c r="G191" s="16" t="str">
        <f t="shared" si="6"/>
        <v>fixed</v>
      </c>
      <c r="H191" s="16" t="str">
        <f t="shared" si="7"/>
        <v>no</v>
      </c>
      <c r="I191">
        <v>0</v>
      </c>
      <c r="J191">
        <v>0</v>
      </c>
      <c r="K191" s="64" t="str">
        <f t="shared" si="8"/>
        <v/>
      </c>
    </row>
    <row r="192" spans="1:11" x14ac:dyDescent="0.2">
      <c r="A192">
        <v>177</v>
      </c>
      <c r="B192" s="8" t="s">
        <v>8</v>
      </c>
      <c r="C192" s="8" t="s">
        <v>8</v>
      </c>
      <c r="E192" t="s">
        <v>973</v>
      </c>
      <c r="F192" s="35">
        <v>0</v>
      </c>
      <c r="G192" s="16" t="str">
        <f t="shared" si="6"/>
        <v>fixed</v>
      </c>
      <c r="H192" s="16" t="str">
        <f t="shared" si="7"/>
        <v>no</v>
      </c>
      <c r="I192">
        <v>0</v>
      </c>
      <c r="J192">
        <v>0</v>
      </c>
      <c r="K192" s="64" t="str">
        <f t="shared" si="8"/>
        <v/>
      </c>
    </row>
    <row r="193" spans="1:11" x14ac:dyDescent="0.2">
      <c r="A193">
        <v>178</v>
      </c>
      <c r="B193" s="8" t="s">
        <v>8</v>
      </c>
      <c r="C193" s="8" t="s">
        <v>8</v>
      </c>
      <c r="E193" t="s">
        <v>974</v>
      </c>
      <c r="F193" s="35">
        <v>0</v>
      </c>
      <c r="G193" s="16" t="str">
        <f t="shared" si="6"/>
        <v>fixed</v>
      </c>
      <c r="H193" s="16" t="str">
        <f t="shared" si="7"/>
        <v>no</v>
      </c>
      <c r="I193">
        <v>0</v>
      </c>
      <c r="J193">
        <v>0</v>
      </c>
      <c r="K193" s="64" t="str">
        <f t="shared" si="8"/>
        <v/>
      </c>
    </row>
    <row r="194" spans="1:11" x14ac:dyDescent="0.2">
      <c r="A194">
        <v>179</v>
      </c>
      <c r="B194" s="8" t="s">
        <v>8</v>
      </c>
      <c r="C194" s="8" t="s">
        <v>8</v>
      </c>
      <c r="E194" t="s">
        <v>975</v>
      </c>
      <c r="F194" s="35">
        <v>0</v>
      </c>
      <c r="G194" s="16" t="str">
        <f t="shared" si="6"/>
        <v>fixed</v>
      </c>
      <c r="H194" s="16" t="str">
        <f t="shared" si="7"/>
        <v>no</v>
      </c>
      <c r="I194">
        <v>0</v>
      </c>
      <c r="J194">
        <v>0</v>
      </c>
      <c r="K194" s="64" t="str">
        <f t="shared" si="8"/>
        <v/>
      </c>
    </row>
    <row r="195" spans="1:11" x14ac:dyDescent="0.2">
      <c r="A195">
        <v>180</v>
      </c>
      <c r="B195" s="8" t="s">
        <v>8</v>
      </c>
      <c r="C195" s="8" t="s">
        <v>8</v>
      </c>
      <c r="E195" t="s">
        <v>976</v>
      </c>
      <c r="F195" s="35">
        <v>0</v>
      </c>
      <c r="G195" s="16" t="str">
        <f t="shared" ref="G195:G205" si="9">IF(I195=J195,"fixed",IF(I195=0,"fixed","uniform"))</f>
        <v>fixed</v>
      </c>
      <c r="H195" s="16" t="str">
        <f t="shared" si="7"/>
        <v>no</v>
      </c>
      <c r="I195">
        <v>0</v>
      </c>
      <c r="J195">
        <v>0</v>
      </c>
      <c r="K195" s="64" t="str">
        <f t="shared" si="8"/>
        <v/>
      </c>
    </row>
    <row r="196" spans="1:11" x14ac:dyDescent="0.2">
      <c r="A196">
        <v>181</v>
      </c>
      <c r="B196" s="8" t="s">
        <v>8</v>
      </c>
      <c r="C196" s="8" t="s">
        <v>8</v>
      </c>
      <c r="E196" t="s">
        <v>977</v>
      </c>
      <c r="F196" s="35">
        <v>0</v>
      </c>
      <c r="G196" s="16" t="str">
        <f t="shared" si="9"/>
        <v>fixed</v>
      </c>
      <c r="H196" s="16" t="str">
        <f t="shared" si="7"/>
        <v>no</v>
      </c>
      <c r="I196">
        <v>0</v>
      </c>
      <c r="J196">
        <v>0</v>
      </c>
      <c r="K196" s="64" t="str">
        <f t="shared" si="8"/>
        <v/>
      </c>
    </row>
    <row r="197" spans="1:11" x14ac:dyDescent="0.2">
      <c r="A197">
        <v>182</v>
      </c>
      <c r="B197" s="8" t="s">
        <v>8</v>
      </c>
      <c r="C197" s="8" t="s">
        <v>8</v>
      </c>
      <c r="E197" t="s">
        <v>978</v>
      </c>
      <c r="F197" s="35">
        <v>0</v>
      </c>
      <c r="G197" s="16" t="str">
        <f t="shared" si="9"/>
        <v>fixed</v>
      </c>
      <c r="H197" s="16" t="str">
        <f t="shared" si="7"/>
        <v>no</v>
      </c>
      <c r="I197">
        <v>0</v>
      </c>
      <c r="J197">
        <v>0</v>
      </c>
      <c r="K197" s="64" t="str">
        <f t="shared" si="8"/>
        <v/>
      </c>
    </row>
    <row r="198" spans="1:11" x14ac:dyDescent="0.2">
      <c r="A198">
        <v>183</v>
      </c>
      <c r="B198" s="8" t="s">
        <v>8</v>
      </c>
      <c r="C198" s="8" t="s">
        <v>8</v>
      </c>
      <c r="E198" t="s">
        <v>979</v>
      </c>
      <c r="F198" s="35">
        <v>0</v>
      </c>
      <c r="G198" s="16" t="str">
        <f t="shared" si="9"/>
        <v>fixed</v>
      </c>
      <c r="H198" s="16" t="str">
        <f t="shared" si="7"/>
        <v>no</v>
      </c>
      <c r="I198">
        <v>0</v>
      </c>
      <c r="J198">
        <v>0</v>
      </c>
      <c r="K198" s="64" t="str">
        <f t="shared" si="8"/>
        <v/>
      </c>
    </row>
    <row r="199" spans="1:11" x14ac:dyDescent="0.2">
      <c r="A199">
        <v>184</v>
      </c>
      <c r="B199" s="8" t="s">
        <v>8</v>
      </c>
      <c r="C199" s="8" t="s">
        <v>8</v>
      </c>
      <c r="E199" t="s">
        <v>980</v>
      </c>
      <c r="F199" s="35">
        <v>0</v>
      </c>
      <c r="G199" s="16" t="str">
        <f t="shared" si="9"/>
        <v>fixed</v>
      </c>
      <c r="H199" s="16" t="str">
        <f t="shared" si="7"/>
        <v>no</v>
      </c>
      <c r="I199">
        <v>0</v>
      </c>
      <c r="J199">
        <v>0</v>
      </c>
      <c r="K199" s="64" t="str">
        <f t="shared" si="8"/>
        <v/>
      </c>
    </row>
    <row r="200" spans="1:11" x14ac:dyDescent="0.2">
      <c r="A200">
        <v>185</v>
      </c>
      <c r="B200" s="8" t="s">
        <v>8</v>
      </c>
      <c r="C200" s="8" t="s">
        <v>8</v>
      </c>
      <c r="E200" t="s">
        <v>981</v>
      </c>
      <c r="F200" s="35">
        <v>0</v>
      </c>
      <c r="G200" s="16" t="str">
        <f t="shared" si="9"/>
        <v>fixed</v>
      </c>
      <c r="H200" s="16" t="str">
        <f t="shared" si="7"/>
        <v>no</v>
      </c>
      <c r="I200">
        <v>0</v>
      </c>
      <c r="J200">
        <v>0</v>
      </c>
      <c r="K200" s="64" t="str">
        <f t="shared" si="8"/>
        <v/>
      </c>
    </row>
    <row r="201" spans="1:11" x14ac:dyDescent="0.2">
      <c r="A201">
        <v>186</v>
      </c>
      <c r="B201" s="8" t="s">
        <v>8</v>
      </c>
      <c r="C201" s="8" t="s">
        <v>8</v>
      </c>
      <c r="E201" t="s">
        <v>982</v>
      </c>
      <c r="F201" s="35">
        <v>0</v>
      </c>
      <c r="G201" s="16" t="str">
        <f t="shared" si="9"/>
        <v>fixed</v>
      </c>
      <c r="H201" s="16" t="str">
        <f t="shared" si="7"/>
        <v>no</v>
      </c>
      <c r="I201">
        <v>0</v>
      </c>
      <c r="J201">
        <v>0</v>
      </c>
      <c r="K201" s="64" t="str">
        <f t="shared" si="8"/>
        <v/>
      </c>
    </row>
    <row r="202" spans="1:11" x14ac:dyDescent="0.2">
      <c r="A202">
        <v>187</v>
      </c>
      <c r="B202" s="8" t="s">
        <v>8</v>
      </c>
      <c r="C202" s="8" t="s">
        <v>8</v>
      </c>
      <c r="E202" t="s">
        <v>983</v>
      </c>
      <c r="F202" s="35">
        <v>0</v>
      </c>
      <c r="G202" s="16" t="str">
        <f t="shared" si="9"/>
        <v>fixed</v>
      </c>
      <c r="H202" s="16" t="str">
        <f t="shared" si="7"/>
        <v>no</v>
      </c>
      <c r="I202">
        <v>0</v>
      </c>
      <c r="J202">
        <v>0</v>
      </c>
      <c r="K202" s="64" t="str">
        <f t="shared" si="8"/>
        <v/>
      </c>
    </row>
    <row r="203" spans="1:11" x14ac:dyDescent="0.2">
      <c r="A203">
        <v>188</v>
      </c>
      <c r="B203" s="8" t="s">
        <v>8</v>
      </c>
      <c r="C203" s="8" t="s">
        <v>8</v>
      </c>
      <c r="E203" t="s">
        <v>984</v>
      </c>
      <c r="F203" s="35">
        <v>0</v>
      </c>
      <c r="G203" s="16" t="str">
        <f t="shared" si="9"/>
        <v>fixed</v>
      </c>
      <c r="H203" s="16" t="str">
        <f t="shared" si="7"/>
        <v>no</v>
      </c>
      <c r="I203">
        <v>0</v>
      </c>
      <c r="J203">
        <v>0</v>
      </c>
      <c r="K203" s="64" t="str">
        <f t="shared" si="8"/>
        <v/>
      </c>
    </row>
    <row r="204" spans="1:11" x14ac:dyDescent="0.2">
      <c r="A204">
        <v>189</v>
      </c>
      <c r="B204" s="8" t="s">
        <v>8</v>
      </c>
      <c r="C204" s="8" t="s">
        <v>8</v>
      </c>
      <c r="E204" t="s">
        <v>985</v>
      </c>
      <c r="F204" s="35">
        <v>0</v>
      </c>
      <c r="G204" s="16" t="str">
        <f t="shared" si="9"/>
        <v>fixed</v>
      </c>
      <c r="H204" s="16" t="str">
        <f t="shared" si="7"/>
        <v>no</v>
      </c>
      <c r="I204">
        <v>0</v>
      </c>
      <c r="J204">
        <v>0</v>
      </c>
      <c r="K204" s="64" t="str">
        <f t="shared" si="8"/>
        <v/>
      </c>
    </row>
    <row r="205" spans="1:11" x14ac:dyDescent="0.2">
      <c r="A205">
        <v>190</v>
      </c>
      <c r="B205" s="8" t="s">
        <v>8</v>
      </c>
      <c r="C205" s="8" t="s">
        <v>8</v>
      </c>
      <c r="E205" t="s">
        <v>986</v>
      </c>
      <c r="F205" s="35">
        <v>0</v>
      </c>
      <c r="G205" s="16" t="str">
        <f t="shared" si="9"/>
        <v>fixed</v>
      </c>
      <c r="H205" s="16" t="str">
        <f t="shared" si="7"/>
        <v>no</v>
      </c>
      <c r="I205">
        <v>0</v>
      </c>
      <c r="J205">
        <v>0</v>
      </c>
      <c r="K205" s="64" t="str">
        <f t="shared" si="8"/>
        <v/>
      </c>
    </row>
    <row r="206" spans="1:11" x14ac:dyDescent="0.2">
      <c r="B206" s="8"/>
      <c r="C206" s="8"/>
      <c r="F206" s="35"/>
      <c r="G206" s="16"/>
      <c r="J206" s="53"/>
      <c r="K206" s="64"/>
    </row>
    <row r="207" spans="1:11" x14ac:dyDescent="0.2">
      <c r="B207" s="8"/>
      <c r="C207" s="8"/>
      <c r="F207" s="35"/>
      <c r="G207" s="16"/>
      <c r="I207" s="53"/>
      <c r="J207" s="53"/>
      <c r="K207" s="64"/>
    </row>
    <row r="208" spans="1:11" x14ac:dyDescent="0.2">
      <c r="B208" s="8"/>
      <c r="C208" s="8"/>
      <c r="H208"/>
    </row>
    <row r="209" spans="2:8" x14ac:dyDescent="0.2">
      <c r="B209" s="8"/>
      <c r="C209" s="8"/>
      <c r="H209"/>
    </row>
    <row r="210" spans="2:8" x14ac:dyDescent="0.2">
      <c r="B210" s="8"/>
      <c r="C210" s="8"/>
      <c r="H210"/>
    </row>
    <row r="211" spans="2:8" x14ac:dyDescent="0.2">
      <c r="B211" s="8"/>
      <c r="C211" s="8"/>
      <c r="H211"/>
    </row>
    <row r="212" spans="2:8" x14ac:dyDescent="0.2">
      <c r="B212" s="8"/>
      <c r="C212" s="8"/>
      <c r="H212"/>
    </row>
    <row r="213" spans="2:8" x14ac:dyDescent="0.2">
      <c r="B213" s="8"/>
      <c r="C213" s="8"/>
      <c r="H213"/>
    </row>
    <row r="214" spans="2:8" x14ac:dyDescent="0.2">
      <c r="B214" s="8"/>
      <c r="C214" s="8"/>
      <c r="H214"/>
    </row>
    <row r="215" spans="2:8" x14ac:dyDescent="0.2">
      <c r="B215" s="8"/>
      <c r="C215" s="8"/>
      <c r="H215"/>
    </row>
    <row r="216" spans="2:8" x14ac:dyDescent="0.2">
      <c r="B216" s="8"/>
      <c r="C216" s="8"/>
      <c r="H216"/>
    </row>
    <row r="217" spans="2:8" x14ac:dyDescent="0.2">
      <c r="B217" s="8"/>
      <c r="C217" s="8"/>
      <c r="H217"/>
    </row>
    <row r="218" spans="2:8" x14ac:dyDescent="0.2">
      <c r="B218" s="8"/>
      <c r="C218" s="8"/>
      <c r="H218"/>
    </row>
    <row r="219" spans="2:8" x14ac:dyDescent="0.2">
      <c r="B219" s="8"/>
      <c r="C219" s="8"/>
      <c r="H219"/>
    </row>
    <row r="220" spans="2:8" x14ac:dyDescent="0.2">
      <c r="B220" s="8"/>
      <c r="C220" s="8"/>
      <c r="H220"/>
    </row>
    <row r="221" spans="2:8" x14ac:dyDescent="0.2">
      <c r="B221" s="8"/>
      <c r="C221" s="8"/>
      <c r="H221"/>
    </row>
    <row r="222" spans="2:8" x14ac:dyDescent="0.2">
      <c r="B222" s="8"/>
      <c r="C222" s="8"/>
      <c r="H222"/>
    </row>
    <row r="223" spans="2:8" x14ac:dyDescent="0.2">
      <c r="B223" s="8"/>
      <c r="C223" s="8"/>
      <c r="H223"/>
    </row>
    <row r="224" spans="2:8" x14ac:dyDescent="0.2">
      <c r="B224" s="8"/>
      <c r="C224" s="8"/>
      <c r="H224"/>
    </row>
    <row r="225" spans="2:8" x14ac:dyDescent="0.2">
      <c r="B225" s="8"/>
      <c r="C225" s="8"/>
      <c r="H225"/>
    </row>
    <row r="226" spans="2:8" x14ac:dyDescent="0.2">
      <c r="B226" s="8"/>
      <c r="C226" s="8"/>
      <c r="H226"/>
    </row>
    <row r="227" spans="2:8" x14ac:dyDescent="0.2">
      <c r="B227" s="8"/>
      <c r="C227" s="8"/>
      <c r="H227"/>
    </row>
    <row r="228" spans="2:8" x14ac:dyDescent="0.2">
      <c r="B228" s="8"/>
      <c r="C228" s="8"/>
      <c r="H228"/>
    </row>
    <row r="229" spans="2:8" x14ac:dyDescent="0.2">
      <c r="B229" s="8"/>
      <c r="C229" s="8"/>
      <c r="H229"/>
    </row>
    <row r="230" spans="2:8" x14ac:dyDescent="0.2">
      <c r="B230" s="8"/>
      <c r="C230" s="8"/>
      <c r="H230"/>
    </row>
    <row r="231" spans="2:8" x14ac:dyDescent="0.2">
      <c r="B231" s="8"/>
      <c r="C231" s="8"/>
      <c r="H231"/>
    </row>
    <row r="232" spans="2:8" x14ac:dyDescent="0.2">
      <c r="B232" s="8"/>
      <c r="C232" s="8"/>
      <c r="H232"/>
    </row>
    <row r="233" spans="2:8" x14ac:dyDescent="0.2">
      <c r="B233" s="8"/>
      <c r="C233" s="8"/>
      <c r="H233"/>
    </row>
    <row r="234" spans="2:8" x14ac:dyDescent="0.2">
      <c r="B234" s="8"/>
      <c r="C234" s="8"/>
      <c r="H234"/>
    </row>
    <row r="235" spans="2:8" x14ac:dyDescent="0.2">
      <c r="B235" s="8"/>
      <c r="C235" s="8"/>
      <c r="H235"/>
    </row>
    <row r="236" spans="2:8" x14ac:dyDescent="0.2">
      <c r="B236" s="8"/>
      <c r="C236" s="8"/>
      <c r="H236"/>
    </row>
    <row r="237" spans="2:8" x14ac:dyDescent="0.2">
      <c r="B237" s="8"/>
      <c r="C237" s="8"/>
      <c r="H237"/>
    </row>
    <row r="238" spans="2:8" x14ac:dyDescent="0.2">
      <c r="B238" s="8"/>
      <c r="C238" s="8"/>
      <c r="H238"/>
    </row>
    <row r="239" spans="2:8" x14ac:dyDescent="0.2">
      <c r="B239" s="8"/>
      <c r="C239" s="8"/>
      <c r="H239"/>
    </row>
    <row r="240" spans="2:8" x14ac:dyDescent="0.2">
      <c r="B240" s="8"/>
      <c r="C240" s="8"/>
      <c r="H240"/>
    </row>
    <row r="241" spans="2:8" x14ac:dyDescent="0.2">
      <c r="B241" s="8"/>
      <c r="C241" s="8"/>
      <c r="H241"/>
    </row>
    <row r="242" spans="2:8" x14ac:dyDescent="0.2">
      <c r="B242" s="8"/>
      <c r="C242" s="8"/>
      <c r="H242"/>
    </row>
    <row r="243" spans="2:8" x14ac:dyDescent="0.2">
      <c r="B243" s="8"/>
      <c r="C243" s="8"/>
      <c r="F243" s="35"/>
      <c r="G243" s="16"/>
    </row>
    <row r="244" spans="2:8" x14ac:dyDescent="0.2">
      <c r="B244" s="8"/>
      <c r="C244" s="8"/>
      <c r="F244" s="35"/>
      <c r="G244" s="16"/>
    </row>
    <row r="245" spans="2:8" x14ac:dyDescent="0.2">
      <c r="B245" s="8"/>
      <c r="C245" s="8"/>
      <c r="F245" s="35"/>
      <c r="G245" s="16"/>
    </row>
    <row r="246" spans="2:8" x14ac:dyDescent="0.2">
      <c r="B246" s="8"/>
      <c r="C246" s="8"/>
      <c r="F246" s="35"/>
      <c r="G246" s="16"/>
    </row>
    <row r="247" spans="2:8" x14ac:dyDescent="0.2">
      <c r="B247" s="8"/>
      <c r="C247" s="8"/>
      <c r="F247" s="35"/>
      <c r="G247" s="16"/>
    </row>
    <row r="248" spans="2:8" x14ac:dyDescent="0.2">
      <c r="B248" s="8"/>
      <c r="C248" s="8"/>
      <c r="F248" s="35"/>
      <c r="G248" s="16"/>
    </row>
    <row r="249" spans="2:8" x14ac:dyDescent="0.2">
      <c r="B249" s="8"/>
      <c r="C249" s="8"/>
      <c r="F249" s="35"/>
      <c r="G249" s="16"/>
    </row>
    <row r="250" spans="2:8" x14ac:dyDescent="0.2">
      <c r="B250" s="8"/>
      <c r="C250" s="8"/>
      <c r="F250" s="35"/>
      <c r="G250" s="16"/>
    </row>
    <row r="251" spans="2:8" x14ac:dyDescent="0.2">
      <c r="B251" s="8"/>
      <c r="C251" s="8"/>
      <c r="F251" s="35"/>
      <c r="G251" s="16"/>
    </row>
    <row r="252" spans="2:8" x14ac:dyDescent="0.2">
      <c r="B252" s="8"/>
      <c r="C252" s="8"/>
      <c r="F252" s="35"/>
      <c r="G252" s="16"/>
    </row>
    <row r="253" spans="2:8" x14ac:dyDescent="0.2">
      <c r="B253" s="8"/>
      <c r="C253" s="8"/>
    </row>
  </sheetData>
  <sortState xmlns:xlrd2="http://schemas.microsoft.com/office/spreadsheetml/2017/richdata2" ref="A16:Q213">
    <sortCondition ref="A16:A213"/>
  </sortState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05"/>
  <sheetViews>
    <sheetView workbookViewId="0">
      <pane ySplit="15" topLeftCell="A156" activePane="bottomLeft" state="frozen"/>
      <selection pane="bottomLeft" activeCell="A176" sqref="A176"/>
    </sheetView>
  </sheetViews>
  <sheetFormatPr baseColWidth="10" defaultRowHeight="16" x14ac:dyDescent="0.2"/>
  <cols>
    <col min="1" max="37" width="23.83203125" customWidth="1"/>
    <col min="38" max="38" width="16" customWidth="1"/>
  </cols>
  <sheetData>
    <row r="1" spans="1:37" x14ac:dyDescent="0.2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">
      <c r="A2" t="s">
        <v>39</v>
      </c>
    </row>
    <row r="3" spans="1:37" x14ac:dyDescent="0.2">
      <c r="A3" t="s">
        <v>58</v>
      </c>
    </row>
    <row r="4" spans="1:37" x14ac:dyDescent="0.2">
      <c r="A4" t="s">
        <v>59</v>
      </c>
    </row>
    <row r="5" spans="1:37" x14ac:dyDescent="0.2">
      <c r="A5" t="s">
        <v>60</v>
      </c>
    </row>
    <row r="6" spans="1:37" x14ac:dyDescent="0.2">
      <c r="A6" t="s">
        <v>61</v>
      </c>
    </row>
    <row r="8" spans="1:37" x14ac:dyDescent="0.2">
      <c r="A8" t="s">
        <v>62</v>
      </c>
    </row>
    <row r="9" spans="1:37" x14ac:dyDescent="0.2">
      <c r="A9" s="1" t="s">
        <v>63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1" spans="1:37" s="7" customFormat="1" ht="102" x14ac:dyDescent="0.2">
      <c r="A11" s="7" t="s">
        <v>353</v>
      </c>
      <c r="AG11" s="57"/>
    </row>
    <row r="13" spans="1:37" x14ac:dyDescent="0.2">
      <c r="A13" s="19" t="s">
        <v>173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H13" s="19"/>
      <c r="AI13" s="19"/>
      <c r="AJ13" s="19"/>
      <c r="AK13" s="19"/>
    </row>
    <row r="14" spans="1:37" ht="17" thickBot="1" x14ac:dyDescent="0.25"/>
    <row r="15" spans="1:37" s="55" customFormat="1" ht="17" thickBot="1" x14ac:dyDescent="0.25">
      <c r="A15" s="55" t="s">
        <v>728</v>
      </c>
      <c r="B15" s="55" t="s">
        <v>1050</v>
      </c>
      <c r="J15" s="56"/>
      <c r="K15" s="56"/>
      <c r="M15" s="56"/>
    </row>
    <row r="16" spans="1:37" x14ac:dyDescent="0.2">
      <c r="A16" t="s">
        <v>797</v>
      </c>
      <c r="B16" s="8" t="s">
        <v>797</v>
      </c>
      <c r="C16" s="8"/>
      <c r="D16" s="8"/>
      <c r="E16" s="8"/>
      <c r="F16" s="8"/>
      <c r="G16" s="36"/>
      <c r="J16" s="30"/>
      <c r="K16" s="30"/>
      <c r="L16" s="8"/>
      <c r="M16" s="54"/>
      <c r="N16" s="8"/>
      <c r="P16" s="8"/>
      <c r="Q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1:37" x14ac:dyDescent="0.2">
      <c r="A17" t="s">
        <v>798</v>
      </c>
      <c r="B17" s="8" t="s">
        <v>798</v>
      </c>
      <c r="C17" s="8"/>
      <c r="D17" s="8"/>
      <c r="E17" s="8"/>
      <c r="F17" s="30"/>
      <c r="G17" s="30"/>
      <c r="I17" s="30"/>
      <c r="J17" s="30"/>
      <c r="K17" s="30"/>
      <c r="L17" s="8"/>
      <c r="M17" s="30"/>
      <c r="N17" s="8"/>
      <c r="P17" s="8"/>
      <c r="Q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spans="1:37" x14ac:dyDescent="0.2">
      <c r="A18" t="s">
        <v>799</v>
      </c>
      <c r="B18" s="8" t="s">
        <v>799</v>
      </c>
      <c r="C18" s="8"/>
      <c r="D18" s="8"/>
      <c r="E18" s="8"/>
      <c r="F18" s="8"/>
      <c r="J18" s="30"/>
      <c r="K18" s="8"/>
      <c r="L18" s="8"/>
      <c r="M18" s="30"/>
      <c r="X18" s="8"/>
      <c r="Z18" s="8"/>
      <c r="AA18" s="8"/>
      <c r="AB18" s="8"/>
      <c r="AC18" s="8"/>
      <c r="AE18" s="8"/>
      <c r="AF18" s="8"/>
      <c r="AG18" s="8"/>
      <c r="AH18" s="8"/>
      <c r="AI18" s="8"/>
      <c r="AK18" s="8"/>
    </row>
    <row r="19" spans="1:37" x14ac:dyDescent="0.2">
      <c r="A19" t="s">
        <v>800</v>
      </c>
      <c r="B19" s="8" t="s">
        <v>800</v>
      </c>
      <c r="C19" s="8"/>
      <c r="D19" s="8"/>
      <c r="E19" s="8"/>
      <c r="F19" s="8"/>
      <c r="J19" s="30"/>
      <c r="K19" s="30"/>
      <c r="L19" s="8"/>
      <c r="M19" s="30"/>
      <c r="U19" s="8"/>
      <c r="X19" s="8"/>
      <c r="Y19" s="8"/>
      <c r="Z19" s="8"/>
      <c r="AA19" s="8"/>
      <c r="AB19" s="8"/>
      <c r="AE19" s="8"/>
      <c r="AF19" s="8"/>
      <c r="AG19" s="8"/>
      <c r="AH19" s="8"/>
      <c r="AI19" s="8"/>
      <c r="AK19" s="8"/>
    </row>
    <row r="20" spans="1:37" x14ac:dyDescent="0.2">
      <c r="A20" t="s">
        <v>801</v>
      </c>
      <c r="B20" s="8" t="s">
        <v>801</v>
      </c>
      <c r="C20" s="8"/>
      <c r="D20" s="8"/>
      <c r="E20" s="8"/>
      <c r="F20" s="8"/>
      <c r="G20" s="8"/>
      <c r="H20" s="8"/>
      <c r="I20" s="8"/>
      <c r="J20" s="30"/>
      <c r="K20" s="30"/>
      <c r="L20" s="8"/>
      <c r="M20" s="30"/>
      <c r="X20" s="8"/>
      <c r="Y20" s="8"/>
      <c r="Z20" s="8"/>
      <c r="AA20" s="8"/>
      <c r="AB20" s="8"/>
      <c r="AE20" s="8"/>
      <c r="AF20" s="8"/>
      <c r="AG20" s="8"/>
      <c r="AH20" s="8"/>
      <c r="AI20" s="8"/>
      <c r="AJ20" s="8"/>
      <c r="AK20" s="8"/>
    </row>
    <row r="21" spans="1:37" x14ac:dyDescent="0.2">
      <c r="A21" t="s">
        <v>802</v>
      </c>
      <c r="B21" s="8" t="s">
        <v>802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AA21" s="8"/>
      <c r="AB21" s="8"/>
      <c r="AE21" s="8"/>
      <c r="AF21" s="8"/>
      <c r="AG21" s="8"/>
      <c r="AH21" s="8"/>
      <c r="AI21" s="8"/>
      <c r="AJ21" s="8"/>
      <c r="AK21" s="8"/>
    </row>
    <row r="22" spans="1:37" x14ac:dyDescent="0.2">
      <c r="A22" t="s">
        <v>803</v>
      </c>
      <c r="B22" s="8" t="s">
        <v>803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AA22" s="8"/>
      <c r="AB22" s="8"/>
      <c r="AE22" s="8"/>
      <c r="AF22" s="8"/>
      <c r="AG22" s="8"/>
      <c r="AH22" s="8"/>
      <c r="AI22" s="8"/>
      <c r="AJ22" s="8"/>
      <c r="AK22" s="8"/>
    </row>
    <row r="23" spans="1:37" x14ac:dyDescent="0.2">
      <c r="A23" t="s">
        <v>804</v>
      </c>
      <c r="B23" s="8" t="s">
        <v>804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AB23" s="8"/>
      <c r="AE23" s="8"/>
      <c r="AF23" s="8"/>
      <c r="AG23" s="8"/>
      <c r="AH23" s="8"/>
      <c r="AI23" s="8"/>
      <c r="AJ23" s="8"/>
      <c r="AK23" s="8"/>
    </row>
    <row r="24" spans="1:37" x14ac:dyDescent="0.2">
      <c r="A24" t="s">
        <v>805</v>
      </c>
      <c r="B24" s="8" t="s">
        <v>805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AB24" s="8"/>
      <c r="AE24" s="8"/>
      <c r="AF24" s="8"/>
      <c r="AG24" s="8"/>
      <c r="AH24" s="8"/>
      <c r="AI24" s="8"/>
      <c r="AJ24" s="8"/>
      <c r="AK24" s="8"/>
    </row>
    <row r="25" spans="1:37" x14ac:dyDescent="0.2">
      <c r="A25" t="s">
        <v>806</v>
      </c>
      <c r="B25" s="8" t="s">
        <v>806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AB25" s="8"/>
      <c r="AE25" s="8"/>
      <c r="AF25" s="8"/>
      <c r="AG25" s="8"/>
      <c r="AH25" s="8"/>
      <c r="AI25" s="8"/>
      <c r="AJ25" s="8"/>
      <c r="AK25" s="8"/>
    </row>
    <row r="26" spans="1:37" x14ac:dyDescent="0.2">
      <c r="A26" t="s">
        <v>807</v>
      </c>
      <c r="B26" s="8" t="s">
        <v>807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S26" s="8"/>
      <c r="AB26" s="8"/>
      <c r="AE26" s="8"/>
      <c r="AF26" s="8"/>
      <c r="AG26" s="8"/>
      <c r="AH26" s="8"/>
      <c r="AI26" s="8"/>
      <c r="AJ26" s="8"/>
      <c r="AK26" s="8"/>
    </row>
    <row r="27" spans="1:37" x14ac:dyDescent="0.2">
      <c r="A27" t="s">
        <v>808</v>
      </c>
      <c r="B27" s="8" t="s">
        <v>808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AB27" s="8"/>
      <c r="AE27" s="8"/>
      <c r="AF27" s="8"/>
      <c r="AG27" s="8"/>
      <c r="AH27" s="8"/>
      <c r="AI27" s="8"/>
      <c r="AJ27" s="8"/>
      <c r="AK27" s="8"/>
    </row>
    <row r="28" spans="1:37" x14ac:dyDescent="0.2">
      <c r="A28" t="s">
        <v>809</v>
      </c>
      <c r="B28" s="8" t="s">
        <v>809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AE28" s="8"/>
      <c r="AF28" s="8"/>
      <c r="AG28" s="8"/>
      <c r="AH28" s="8"/>
      <c r="AI28" s="8"/>
      <c r="AJ28" s="8"/>
      <c r="AK28" s="8"/>
    </row>
    <row r="29" spans="1:37" x14ac:dyDescent="0.2">
      <c r="A29" t="s">
        <v>810</v>
      </c>
      <c r="B29" s="8" t="s">
        <v>810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AE29" s="8"/>
      <c r="AF29" s="8"/>
      <c r="AG29" s="8"/>
      <c r="AH29" s="8"/>
      <c r="AI29" s="8"/>
      <c r="AJ29" s="8"/>
      <c r="AK29" s="8"/>
    </row>
    <row r="30" spans="1:37" x14ac:dyDescent="0.2">
      <c r="A30" t="s">
        <v>811</v>
      </c>
      <c r="B30" s="8" t="s">
        <v>811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AE30" s="8"/>
      <c r="AF30" s="8"/>
      <c r="AG30" s="8"/>
      <c r="AH30" s="8"/>
      <c r="AI30" s="8"/>
      <c r="AJ30" s="8"/>
      <c r="AK30" s="8"/>
    </row>
    <row r="31" spans="1:37" x14ac:dyDescent="0.2">
      <c r="A31" t="s">
        <v>812</v>
      </c>
      <c r="B31" s="8" t="s">
        <v>812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AE31" s="8"/>
      <c r="AF31" s="8"/>
      <c r="AG31" s="8"/>
      <c r="AH31" s="8"/>
      <c r="AI31" s="8"/>
      <c r="AJ31" s="8"/>
      <c r="AK31" s="8"/>
    </row>
    <row r="32" spans="1:37" x14ac:dyDescent="0.2">
      <c r="A32" t="s">
        <v>813</v>
      </c>
      <c r="B32" s="8" t="s">
        <v>813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AE32" s="8"/>
      <c r="AF32" s="8"/>
      <c r="AG32" s="8"/>
      <c r="AH32" s="8"/>
      <c r="AI32" s="8"/>
      <c r="AJ32" s="8"/>
      <c r="AK32" s="8"/>
    </row>
    <row r="33" spans="1:37" x14ac:dyDescent="0.2">
      <c r="A33" t="s">
        <v>814</v>
      </c>
      <c r="B33" s="8" t="s">
        <v>814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AE33" s="8"/>
      <c r="AF33" s="8"/>
      <c r="AG33" s="8"/>
      <c r="AH33" s="8"/>
      <c r="AI33" s="8"/>
      <c r="AJ33" s="8"/>
      <c r="AK33" s="8"/>
    </row>
    <row r="34" spans="1:37" x14ac:dyDescent="0.2">
      <c r="A34" t="s">
        <v>815</v>
      </c>
      <c r="B34" s="8" t="s">
        <v>815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AE34" s="8"/>
      <c r="AF34" s="8"/>
      <c r="AG34" s="8"/>
      <c r="AH34" s="8"/>
      <c r="AI34" s="8"/>
      <c r="AJ34" s="8"/>
      <c r="AK34" s="8"/>
    </row>
    <row r="35" spans="1:37" x14ac:dyDescent="0.2">
      <c r="A35" t="s">
        <v>816</v>
      </c>
      <c r="B35" s="8" t="s">
        <v>816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AE35" s="8"/>
      <c r="AF35" s="8"/>
      <c r="AG35" s="8"/>
      <c r="AH35" s="8"/>
      <c r="AI35" s="8"/>
      <c r="AJ35" s="8"/>
    </row>
    <row r="36" spans="1:37" x14ac:dyDescent="0.2">
      <c r="A36" t="s">
        <v>817</v>
      </c>
      <c r="B36" s="8" t="s">
        <v>817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AE36" s="8"/>
      <c r="AF36" s="8"/>
      <c r="AG36" s="8"/>
      <c r="AH36" s="8"/>
      <c r="AI36" s="8"/>
      <c r="AJ36" s="8"/>
      <c r="AK36" s="8"/>
    </row>
    <row r="37" spans="1:37" x14ac:dyDescent="0.2">
      <c r="A37" t="s">
        <v>818</v>
      </c>
      <c r="B37" s="8" t="s">
        <v>818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AE37" s="8"/>
      <c r="AF37" s="8"/>
      <c r="AG37" s="8"/>
      <c r="AH37" s="8"/>
      <c r="AI37" s="8"/>
      <c r="AJ37" s="8"/>
    </row>
    <row r="38" spans="1:37" x14ac:dyDescent="0.2">
      <c r="A38" t="s">
        <v>819</v>
      </c>
      <c r="B38" s="8" t="s">
        <v>819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AE38" s="8"/>
      <c r="AF38" s="8"/>
      <c r="AG38" s="8"/>
      <c r="AH38" s="8"/>
      <c r="AI38" s="8"/>
      <c r="AJ38" s="8"/>
      <c r="AK38" s="8"/>
    </row>
    <row r="39" spans="1:37" x14ac:dyDescent="0.2">
      <c r="A39" t="s">
        <v>820</v>
      </c>
      <c r="B39" s="8" t="s">
        <v>820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AE39" s="8"/>
      <c r="AF39" s="8"/>
      <c r="AG39" s="8"/>
      <c r="AH39" s="8"/>
      <c r="AI39" s="8"/>
      <c r="AJ39" s="8"/>
      <c r="AK39" s="8"/>
    </row>
    <row r="40" spans="1:37" x14ac:dyDescent="0.2">
      <c r="A40" t="s">
        <v>821</v>
      </c>
      <c r="B40" s="8" t="s">
        <v>821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AE40" s="8"/>
      <c r="AF40" s="8"/>
      <c r="AG40" s="8"/>
      <c r="AH40" s="8"/>
      <c r="AI40" s="8"/>
      <c r="AJ40" s="8"/>
      <c r="AK40" s="8"/>
    </row>
    <row r="41" spans="1:37" x14ac:dyDescent="0.2">
      <c r="A41" t="s">
        <v>822</v>
      </c>
      <c r="B41" s="8" t="s">
        <v>822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1:37" x14ac:dyDescent="0.2">
      <c r="A42" t="s">
        <v>823</v>
      </c>
      <c r="B42" s="8" t="s">
        <v>823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1:37" x14ac:dyDescent="0.2">
      <c r="A43" t="s">
        <v>824</v>
      </c>
      <c r="B43" s="8" t="s">
        <v>824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1:37" x14ac:dyDescent="0.2">
      <c r="A44" t="s">
        <v>825</v>
      </c>
      <c r="B44" s="8" t="s">
        <v>825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1:37" x14ac:dyDescent="0.2">
      <c r="A45" t="s">
        <v>826</v>
      </c>
      <c r="B45" s="8" t="s">
        <v>826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1:37" x14ac:dyDescent="0.2">
      <c r="A46" t="s">
        <v>827</v>
      </c>
      <c r="B46" s="8" t="s">
        <v>827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1:37" x14ac:dyDescent="0.2">
      <c r="A47" t="s">
        <v>828</v>
      </c>
      <c r="B47" s="8" t="s">
        <v>828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1:37" x14ac:dyDescent="0.2">
      <c r="A48" t="s">
        <v>829</v>
      </c>
      <c r="B48" s="8" t="s">
        <v>829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7" x14ac:dyDescent="0.2">
      <c r="A49" t="s">
        <v>830</v>
      </c>
      <c r="B49" s="8" t="s">
        <v>830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7" x14ac:dyDescent="0.2">
      <c r="A50" t="s">
        <v>831</v>
      </c>
      <c r="B50" s="8" t="s">
        <v>831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7" x14ac:dyDescent="0.2">
      <c r="A51" t="s">
        <v>832</v>
      </c>
      <c r="B51" s="8" t="s">
        <v>832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1:37" x14ac:dyDescent="0.2">
      <c r="A52" t="s">
        <v>833</v>
      </c>
      <c r="B52" s="8" t="s">
        <v>833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</row>
    <row r="53" spans="1:37" x14ac:dyDescent="0.2">
      <c r="A53" t="s">
        <v>834</v>
      </c>
      <c r="B53" s="8" t="s">
        <v>834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1:37" x14ac:dyDescent="0.2">
      <c r="A54" t="s">
        <v>835</v>
      </c>
      <c r="B54" s="8" t="s">
        <v>835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1:37" x14ac:dyDescent="0.2">
      <c r="A55" t="s">
        <v>836</v>
      </c>
      <c r="B55" s="8" t="s">
        <v>836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1:37" x14ac:dyDescent="0.2">
      <c r="A56" t="s">
        <v>837</v>
      </c>
      <c r="B56" s="8" t="s">
        <v>837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1:37" x14ac:dyDescent="0.2">
      <c r="A57" t="s">
        <v>838</v>
      </c>
      <c r="B57" s="8" t="s">
        <v>838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</row>
    <row r="58" spans="1:37" x14ac:dyDescent="0.2">
      <c r="A58" t="s">
        <v>839</v>
      </c>
      <c r="B58" s="8" t="s">
        <v>839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</row>
    <row r="59" spans="1:37" x14ac:dyDescent="0.2">
      <c r="A59" t="s">
        <v>840</v>
      </c>
      <c r="B59" s="8" t="s">
        <v>840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</row>
    <row r="60" spans="1:37" x14ac:dyDescent="0.2">
      <c r="A60" t="s">
        <v>841</v>
      </c>
      <c r="B60" s="8" t="s">
        <v>841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</row>
    <row r="61" spans="1:37" x14ac:dyDescent="0.2">
      <c r="A61" t="s">
        <v>842</v>
      </c>
      <c r="B61" s="8" t="s">
        <v>842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</row>
    <row r="62" spans="1:37" x14ac:dyDescent="0.2">
      <c r="A62" t="s">
        <v>843</v>
      </c>
      <c r="B62" s="8" t="s">
        <v>843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</row>
    <row r="63" spans="1:37" x14ac:dyDescent="0.2">
      <c r="A63" t="s">
        <v>844</v>
      </c>
      <c r="B63" s="8" t="s">
        <v>844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</row>
    <row r="64" spans="1:37" x14ac:dyDescent="0.2">
      <c r="A64" t="s">
        <v>845</v>
      </c>
      <c r="B64" s="8" t="s">
        <v>845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</row>
    <row r="65" spans="1:37" x14ac:dyDescent="0.2">
      <c r="A65" t="s">
        <v>846</v>
      </c>
      <c r="B65" s="8" t="s">
        <v>846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</row>
    <row r="66" spans="1:37" x14ac:dyDescent="0.2">
      <c r="A66" t="s">
        <v>847</v>
      </c>
      <c r="B66" s="8" t="s">
        <v>847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</row>
    <row r="67" spans="1:37" x14ac:dyDescent="0.2">
      <c r="A67" t="s">
        <v>848</v>
      </c>
      <c r="B67" s="8" t="s">
        <v>848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</row>
    <row r="68" spans="1:37" x14ac:dyDescent="0.2">
      <c r="A68" t="s">
        <v>849</v>
      </c>
      <c r="B68" s="8" t="s">
        <v>849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</row>
    <row r="69" spans="1:37" x14ac:dyDescent="0.2">
      <c r="A69" t="s">
        <v>850</v>
      </c>
      <c r="B69" s="8" t="s">
        <v>850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</row>
    <row r="70" spans="1:37" x14ac:dyDescent="0.2">
      <c r="A70" t="s">
        <v>851</v>
      </c>
      <c r="B70" s="8" t="s">
        <v>851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</row>
    <row r="71" spans="1:37" x14ac:dyDescent="0.2">
      <c r="A71" t="s">
        <v>852</v>
      </c>
      <c r="B71" s="8" t="s">
        <v>852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</row>
    <row r="72" spans="1:37" x14ac:dyDescent="0.2">
      <c r="A72" t="s">
        <v>853</v>
      </c>
      <c r="B72" s="8" t="s">
        <v>853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</row>
    <row r="73" spans="1:37" x14ac:dyDescent="0.2">
      <c r="A73" t="s">
        <v>854</v>
      </c>
      <c r="B73" s="8" t="s">
        <v>854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 spans="1:37" x14ac:dyDescent="0.2">
      <c r="A74" t="s">
        <v>855</v>
      </c>
      <c r="B74" s="8" t="s">
        <v>855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 spans="1:37" x14ac:dyDescent="0.2">
      <c r="A75" t="s">
        <v>856</v>
      </c>
      <c r="B75" s="8" t="s">
        <v>856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</row>
    <row r="76" spans="1:37" x14ac:dyDescent="0.2">
      <c r="A76" t="s">
        <v>857</v>
      </c>
      <c r="B76" s="8" t="s">
        <v>857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</row>
    <row r="77" spans="1:37" x14ac:dyDescent="0.2">
      <c r="A77" t="s">
        <v>858</v>
      </c>
      <c r="B77" s="8" t="s">
        <v>858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</row>
    <row r="78" spans="1:37" x14ac:dyDescent="0.2">
      <c r="A78" t="s">
        <v>859</v>
      </c>
      <c r="B78" s="8" t="s">
        <v>859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</row>
    <row r="79" spans="1:37" x14ac:dyDescent="0.2">
      <c r="A79" t="s">
        <v>860</v>
      </c>
      <c r="B79" s="8" t="s">
        <v>860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</row>
    <row r="80" spans="1:37" x14ac:dyDescent="0.2">
      <c r="A80" t="s">
        <v>861</v>
      </c>
      <c r="B80" s="8" t="s">
        <v>861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</row>
    <row r="81" spans="1:37" x14ac:dyDescent="0.2">
      <c r="A81" t="s">
        <v>862</v>
      </c>
      <c r="B81" s="8" t="s">
        <v>862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</row>
    <row r="82" spans="1:37" x14ac:dyDescent="0.2">
      <c r="A82" t="s">
        <v>863</v>
      </c>
      <c r="B82" s="8" t="s">
        <v>863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 spans="1:37" x14ac:dyDescent="0.2">
      <c r="A83" t="s">
        <v>864</v>
      </c>
      <c r="B83" s="8" t="s">
        <v>864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</row>
    <row r="84" spans="1:37" x14ac:dyDescent="0.2">
      <c r="A84" t="s">
        <v>865</v>
      </c>
      <c r="B84" s="8" t="s">
        <v>865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</row>
    <row r="85" spans="1:37" x14ac:dyDescent="0.2">
      <c r="A85" t="s">
        <v>866</v>
      </c>
      <c r="B85" s="8" t="s">
        <v>866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</row>
    <row r="86" spans="1:37" x14ac:dyDescent="0.2">
      <c r="A86" t="s">
        <v>867</v>
      </c>
      <c r="B86" s="8" t="s">
        <v>867</v>
      </c>
    </row>
    <row r="87" spans="1:37" x14ac:dyDescent="0.2">
      <c r="A87" t="s">
        <v>868</v>
      </c>
      <c r="B87" s="8" t="s">
        <v>868</v>
      </c>
    </row>
    <row r="88" spans="1:37" x14ac:dyDescent="0.2">
      <c r="A88" t="s">
        <v>869</v>
      </c>
      <c r="B88" s="8" t="s">
        <v>869</v>
      </c>
    </row>
    <row r="89" spans="1:37" x14ac:dyDescent="0.2">
      <c r="A89" t="s">
        <v>870</v>
      </c>
      <c r="B89" s="8" t="s">
        <v>870</v>
      </c>
    </row>
    <row r="90" spans="1:37" x14ac:dyDescent="0.2">
      <c r="A90" t="s">
        <v>871</v>
      </c>
      <c r="B90" s="8" t="s">
        <v>871</v>
      </c>
    </row>
    <row r="91" spans="1:37" x14ac:dyDescent="0.2">
      <c r="A91" t="s">
        <v>872</v>
      </c>
      <c r="B91" s="8" t="s">
        <v>872</v>
      </c>
    </row>
    <row r="92" spans="1:37" x14ac:dyDescent="0.2">
      <c r="A92" t="s">
        <v>873</v>
      </c>
      <c r="B92" s="8" t="s">
        <v>873</v>
      </c>
    </row>
    <row r="93" spans="1:37" x14ac:dyDescent="0.2">
      <c r="A93" t="s">
        <v>874</v>
      </c>
      <c r="B93" s="8" t="s">
        <v>874</v>
      </c>
    </row>
    <row r="94" spans="1:37" x14ac:dyDescent="0.2">
      <c r="A94" t="s">
        <v>875</v>
      </c>
      <c r="B94" s="8" t="s">
        <v>875</v>
      </c>
    </row>
    <row r="95" spans="1:37" x14ac:dyDescent="0.2">
      <c r="A95" t="s">
        <v>876</v>
      </c>
      <c r="B95" s="8" t="s">
        <v>876</v>
      </c>
    </row>
    <row r="96" spans="1:37" x14ac:dyDescent="0.2">
      <c r="A96" t="s">
        <v>877</v>
      </c>
      <c r="B96" s="8" t="s">
        <v>877</v>
      </c>
    </row>
    <row r="97" spans="1:2" x14ac:dyDescent="0.2">
      <c r="A97" t="s">
        <v>878</v>
      </c>
      <c r="B97" s="8" t="s">
        <v>878</v>
      </c>
    </row>
    <row r="98" spans="1:2" x14ac:dyDescent="0.2">
      <c r="A98" t="s">
        <v>879</v>
      </c>
      <c r="B98" s="8" t="s">
        <v>879</v>
      </c>
    </row>
    <row r="99" spans="1:2" x14ac:dyDescent="0.2">
      <c r="A99" t="s">
        <v>880</v>
      </c>
      <c r="B99" s="8" t="s">
        <v>880</v>
      </c>
    </row>
    <row r="100" spans="1:2" x14ac:dyDescent="0.2">
      <c r="A100" t="s">
        <v>881</v>
      </c>
      <c r="B100" s="8" t="s">
        <v>881</v>
      </c>
    </row>
    <row r="101" spans="1:2" x14ac:dyDescent="0.2">
      <c r="A101" t="s">
        <v>882</v>
      </c>
      <c r="B101" s="8" t="s">
        <v>882</v>
      </c>
    </row>
    <row r="102" spans="1:2" x14ac:dyDescent="0.2">
      <c r="A102" t="s">
        <v>883</v>
      </c>
      <c r="B102" s="8" t="s">
        <v>883</v>
      </c>
    </row>
    <row r="103" spans="1:2" x14ac:dyDescent="0.2">
      <c r="A103" t="s">
        <v>884</v>
      </c>
      <c r="B103" s="8" t="s">
        <v>884</v>
      </c>
    </row>
    <row r="104" spans="1:2" x14ac:dyDescent="0.2">
      <c r="A104" t="s">
        <v>885</v>
      </c>
      <c r="B104" s="8" t="s">
        <v>885</v>
      </c>
    </row>
    <row r="105" spans="1:2" x14ac:dyDescent="0.2">
      <c r="A105" t="s">
        <v>886</v>
      </c>
      <c r="B105" s="8" t="s">
        <v>886</v>
      </c>
    </row>
    <row r="106" spans="1:2" x14ac:dyDescent="0.2">
      <c r="A106" t="s">
        <v>887</v>
      </c>
      <c r="B106" s="8" t="s">
        <v>887</v>
      </c>
    </row>
    <row r="107" spans="1:2" x14ac:dyDescent="0.2">
      <c r="A107" t="s">
        <v>888</v>
      </c>
      <c r="B107" s="8" t="s">
        <v>888</v>
      </c>
    </row>
    <row r="108" spans="1:2" x14ac:dyDescent="0.2">
      <c r="A108" t="s">
        <v>889</v>
      </c>
      <c r="B108" s="8" t="s">
        <v>889</v>
      </c>
    </row>
    <row r="109" spans="1:2" x14ac:dyDescent="0.2">
      <c r="A109" t="s">
        <v>890</v>
      </c>
      <c r="B109" s="8" t="s">
        <v>890</v>
      </c>
    </row>
    <row r="110" spans="1:2" x14ac:dyDescent="0.2">
      <c r="A110" t="s">
        <v>891</v>
      </c>
      <c r="B110" s="8" t="s">
        <v>891</v>
      </c>
    </row>
    <row r="111" spans="1:2" x14ac:dyDescent="0.2">
      <c r="A111" t="s">
        <v>892</v>
      </c>
      <c r="B111" s="8" t="s">
        <v>892</v>
      </c>
    </row>
    <row r="112" spans="1:2" x14ac:dyDescent="0.2">
      <c r="A112" t="s">
        <v>893</v>
      </c>
      <c r="B112" s="8" t="s">
        <v>893</v>
      </c>
    </row>
    <row r="113" spans="1:2" x14ac:dyDescent="0.2">
      <c r="A113" t="s">
        <v>894</v>
      </c>
      <c r="B113" s="8" t="s">
        <v>894</v>
      </c>
    </row>
    <row r="114" spans="1:2" x14ac:dyDescent="0.2">
      <c r="A114" t="s">
        <v>895</v>
      </c>
      <c r="B114" s="8" t="s">
        <v>895</v>
      </c>
    </row>
    <row r="115" spans="1:2" x14ac:dyDescent="0.2">
      <c r="A115" t="s">
        <v>896</v>
      </c>
      <c r="B115" s="8" t="s">
        <v>896</v>
      </c>
    </row>
    <row r="116" spans="1:2" x14ac:dyDescent="0.2">
      <c r="A116" t="s">
        <v>897</v>
      </c>
      <c r="B116" s="8" t="s">
        <v>897</v>
      </c>
    </row>
    <row r="117" spans="1:2" x14ac:dyDescent="0.2">
      <c r="A117" t="s">
        <v>898</v>
      </c>
      <c r="B117" s="8" t="s">
        <v>898</v>
      </c>
    </row>
    <row r="118" spans="1:2" x14ac:dyDescent="0.2">
      <c r="A118" t="s">
        <v>899</v>
      </c>
      <c r="B118" s="8" t="s">
        <v>899</v>
      </c>
    </row>
    <row r="119" spans="1:2" x14ac:dyDescent="0.2">
      <c r="A119" t="s">
        <v>900</v>
      </c>
      <c r="B119" s="8" t="s">
        <v>900</v>
      </c>
    </row>
    <row r="120" spans="1:2" x14ac:dyDescent="0.2">
      <c r="A120" t="s">
        <v>901</v>
      </c>
      <c r="B120" s="8" t="s">
        <v>901</v>
      </c>
    </row>
    <row r="121" spans="1:2" x14ac:dyDescent="0.2">
      <c r="A121" t="s">
        <v>902</v>
      </c>
      <c r="B121" s="8" t="s">
        <v>902</v>
      </c>
    </row>
    <row r="122" spans="1:2" x14ac:dyDescent="0.2">
      <c r="A122" t="s">
        <v>903</v>
      </c>
      <c r="B122" s="8" t="s">
        <v>903</v>
      </c>
    </row>
    <row r="123" spans="1:2" x14ac:dyDescent="0.2">
      <c r="A123" t="s">
        <v>904</v>
      </c>
      <c r="B123" s="8" t="s">
        <v>904</v>
      </c>
    </row>
    <row r="124" spans="1:2" x14ac:dyDescent="0.2">
      <c r="A124" t="s">
        <v>905</v>
      </c>
      <c r="B124" s="8" t="s">
        <v>905</v>
      </c>
    </row>
    <row r="125" spans="1:2" x14ac:dyDescent="0.2">
      <c r="A125" t="s">
        <v>906</v>
      </c>
      <c r="B125" s="8" t="s">
        <v>906</v>
      </c>
    </row>
    <row r="126" spans="1:2" x14ac:dyDescent="0.2">
      <c r="A126" t="s">
        <v>907</v>
      </c>
      <c r="B126" s="8" t="s">
        <v>907</v>
      </c>
    </row>
    <row r="127" spans="1:2" x14ac:dyDescent="0.2">
      <c r="A127" t="s">
        <v>908</v>
      </c>
      <c r="B127" s="8" t="s">
        <v>908</v>
      </c>
    </row>
    <row r="128" spans="1:2" x14ac:dyDescent="0.2">
      <c r="A128" t="s">
        <v>909</v>
      </c>
      <c r="B128" s="8" t="s">
        <v>909</v>
      </c>
    </row>
    <row r="129" spans="1:2" x14ac:dyDescent="0.2">
      <c r="A129" t="s">
        <v>910</v>
      </c>
      <c r="B129" s="8" t="s">
        <v>910</v>
      </c>
    </row>
    <row r="130" spans="1:2" x14ac:dyDescent="0.2">
      <c r="A130" t="s">
        <v>911</v>
      </c>
      <c r="B130" s="8" t="s">
        <v>911</v>
      </c>
    </row>
    <row r="131" spans="1:2" x14ac:dyDescent="0.2">
      <c r="A131" t="s">
        <v>912</v>
      </c>
      <c r="B131" s="8" t="s">
        <v>912</v>
      </c>
    </row>
    <row r="132" spans="1:2" x14ac:dyDescent="0.2">
      <c r="A132" t="s">
        <v>913</v>
      </c>
      <c r="B132" s="8" t="s">
        <v>913</v>
      </c>
    </row>
    <row r="133" spans="1:2" x14ac:dyDescent="0.2">
      <c r="A133" t="s">
        <v>914</v>
      </c>
      <c r="B133" s="8" t="s">
        <v>914</v>
      </c>
    </row>
    <row r="134" spans="1:2" x14ac:dyDescent="0.2">
      <c r="A134" t="s">
        <v>915</v>
      </c>
      <c r="B134" s="8" t="s">
        <v>915</v>
      </c>
    </row>
    <row r="135" spans="1:2" x14ac:dyDescent="0.2">
      <c r="A135" t="s">
        <v>916</v>
      </c>
      <c r="B135" s="8" t="s">
        <v>916</v>
      </c>
    </row>
    <row r="136" spans="1:2" x14ac:dyDescent="0.2">
      <c r="A136" t="s">
        <v>917</v>
      </c>
      <c r="B136" s="8" t="s">
        <v>917</v>
      </c>
    </row>
    <row r="137" spans="1:2" x14ac:dyDescent="0.2">
      <c r="A137" t="s">
        <v>918</v>
      </c>
      <c r="B137" s="8" t="s">
        <v>918</v>
      </c>
    </row>
    <row r="138" spans="1:2" x14ac:dyDescent="0.2">
      <c r="A138" t="s">
        <v>919</v>
      </c>
      <c r="B138" s="8" t="s">
        <v>919</v>
      </c>
    </row>
    <row r="139" spans="1:2" x14ac:dyDescent="0.2">
      <c r="A139" t="s">
        <v>920</v>
      </c>
      <c r="B139" s="8" t="s">
        <v>920</v>
      </c>
    </row>
    <row r="140" spans="1:2" x14ac:dyDescent="0.2">
      <c r="A140" t="s">
        <v>921</v>
      </c>
      <c r="B140" s="8" t="s">
        <v>921</v>
      </c>
    </row>
    <row r="141" spans="1:2" x14ac:dyDescent="0.2">
      <c r="A141" t="s">
        <v>922</v>
      </c>
      <c r="B141" s="8" t="s">
        <v>922</v>
      </c>
    </row>
    <row r="142" spans="1:2" x14ac:dyDescent="0.2">
      <c r="A142" t="s">
        <v>923</v>
      </c>
      <c r="B142" s="8" t="s">
        <v>923</v>
      </c>
    </row>
    <row r="143" spans="1:2" x14ac:dyDescent="0.2">
      <c r="A143" t="s">
        <v>924</v>
      </c>
      <c r="B143" s="8" t="s">
        <v>924</v>
      </c>
    </row>
    <row r="144" spans="1:2" x14ac:dyDescent="0.2">
      <c r="A144" t="s">
        <v>925</v>
      </c>
      <c r="B144" s="8" t="s">
        <v>925</v>
      </c>
    </row>
    <row r="145" spans="1:2" x14ac:dyDescent="0.2">
      <c r="A145" t="s">
        <v>926</v>
      </c>
      <c r="B145" s="8" t="s">
        <v>926</v>
      </c>
    </row>
    <row r="146" spans="1:2" x14ac:dyDescent="0.2">
      <c r="A146" t="s">
        <v>927</v>
      </c>
      <c r="B146" s="8" t="s">
        <v>927</v>
      </c>
    </row>
    <row r="147" spans="1:2" x14ac:dyDescent="0.2">
      <c r="A147" t="s">
        <v>928</v>
      </c>
      <c r="B147" s="8" t="s">
        <v>928</v>
      </c>
    </row>
    <row r="148" spans="1:2" x14ac:dyDescent="0.2">
      <c r="A148" t="s">
        <v>929</v>
      </c>
      <c r="B148" s="8" t="s">
        <v>929</v>
      </c>
    </row>
    <row r="149" spans="1:2" x14ac:dyDescent="0.2">
      <c r="A149" t="s">
        <v>930</v>
      </c>
      <c r="B149" s="8" t="s">
        <v>930</v>
      </c>
    </row>
    <row r="150" spans="1:2" x14ac:dyDescent="0.2">
      <c r="A150" t="s">
        <v>931</v>
      </c>
      <c r="B150" s="8" t="s">
        <v>931</v>
      </c>
    </row>
    <row r="151" spans="1:2" x14ac:dyDescent="0.2">
      <c r="A151" t="s">
        <v>932</v>
      </c>
      <c r="B151" s="8" t="s">
        <v>932</v>
      </c>
    </row>
    <row r="152" spans="1:2" x14ac:dyDescent="0.2">
      <c r="A152" t="s">
        <v>933</v>
      </c>
      <c r="B152" s="8" t="s">
        <v>933</v>
      </c>
    </row>
    <row r="153" spans="1:2" x14ac:dyDescent="0.2">
      <c r="A153" t="s">
        <v>934</v>
      </c>
      <c r="B153" s="8" t="s">
        <v>934</v>
      </c>
    </row>
    <row r="154" spans="1:2" x14ac:dyDescent="0.2">
      <c r="A154" t="s">
        <v>935</v>
      </c>
      <c r="B154" s="8" t="s">
        <v>935</v>
      </c>
    </row>
    <row r="155" spans="1:2" x14ac:dyDescent="0.2">
      <c r="A155" t="s">
        <v>936</v>
      </c>
      <c r="B155" s="8" t="s">
        <v>936</v>
      </c>
    </row>
    <row r="156" spans="1:2" x14ac:dyDescent="0.2">
      <c r="A156" t="s">
        <v>937</v>
      </c>
      <c r="B156" s="8" t="s">
        <v>937</v>
      </c>
    </row>
    <row r="157" spans="1:2" x14ac:dyDescent="0.2">
      <c r="A157" t="s">
        <v>938</v>
      </c>
      <c r="B157" s="8" t="s">
        <v>938</v>
      </c>
    </row>
    <row r="158" spans="1:2" x14ac:dyDescent="0.2">
      <c r="A158" t="s">
        <v>939</v>
      </c>
      <c r="B158" s="8" t="s">
        <v>939</v>
      </c>
    </row>
    <row r="159" spans="1:2" x14ac:dyDescent="0.2">
      <c r="A159" t="s">
        <v>940</v>
      </c>
      <c r="B159" s="8" t="s">
        <v>940</v>
      </c>
    </row>
    <row r="160" spans="1:2" x14ac:dyDescent="0.2">
      <c r="A160" t="s">
        <v>941</v>
      </c>
      <c r="B160" s="8" t="s">
        <v>941</v>
      </c>
    </row>
    <row r="161" spans="1:2" x14ac:dyDescent="0.2">
      <c r="A161" t="s">
        <v>942</v>
      </c>
      <c r="B161" s="8" t="s">
        <v>942</v>
      </c>
    </row>
    <row r="162" spans="1:2" x14ac:dyDescent="0.2">
      <c r="A162" t="s">
        <v>943</v>
      </c>
      <c r="B162" s="8" t="s">
        <v>943</v>
      </c>
    </row>
    <row r="163" spans="1:2" x14ac:dyDescent="0.2">
      <c r="A163" t="s">
        <v>944</v>
      </c>
      <c r="B163" s="8" t="s">
        <v>944</v>
      </c>
    </row>
    <row r="164" spans="1:2" x14ac:dyDescent="0.2">
      <c r="A164" t="s">
        <v>945</v>
      </c>
      <c r="B164" s="8" t="s">
        <v>945</v>
      </c>
    </row>
    <row r="165" spans="1:2" x14ac:dyDescent="0.2">
      <c r="A165" t="s">
        <v>946</v>
      </c>
      <c r="B165" s="8" t="s">
        <v>946</v>
      </c>
    </row>
    <row r="166" spans="1:2" x14ac:dyDescent="0.2">
      <c r="A166" t="s">
        <v>947</v>
      </c>
      <c r="B166" s="8" t="s">
        <v>947</v>
      </c>
    </row>
    <row r="167" spans="1:2" x14ac:dyDescent="0.2">
      <c r="A167" t="s">
        <v>948</v>
      </c>
      <c r="B167" s="8" t="s">
        <v>948</v>
      </c>
    </row>
    <row r="168" spans="1:2" x14ac:dyDescent="0.2">
      <c r="A168" t="s">
        <v>949</v>
      </c>
      <c r="B168" s="8" t="s">
        <v>949</v>
      </c>
    </row>
    <row r="169" spans="1:2" x14ac:dyDescent="0.2">
      <c r="A169" t="s">
        <v>950</v>
      </c>
      <c r="B169" s="8" t="s">
        <v>950</v>
      </c>
    </row>
    <row r="170" spans="1:2" x14ac:dyDescent="0.2">
      <c r="A170" t="s">
        <v>951</v>
      </c>
      <c r="B170" s="8" t="s">
        <v>951</v>
      </c>
    </row>
    <row r="171" spans="1:2" x14ac:dyDescent="0.2">
      <c r="A171" t="s">
        <v>952</v>
      </c>
      <c r="B171" s="8" t="s">
        <v>952</v>
      </c>
    </row>
    <row r="172" spans="1:2" x14ac:dyDescent="0.2">
      <c r="A172" t="s">
        <v>953</v>
      </c>
      <c r="B172" s="8" t="s">
        <v>953</v>
      </c>
    </row>
    <row r="173" spans="1:2" x14ac:dyDescent="0.2">
      <c r="A173" t="s">
        <v>954</v>
      </c>
      <c r="B173" s="8" t="s">
        <v>954</v>
      </c>
    </row>
    <row r="174" spans="1:2" x14ac:dyDescent="0.2">
      <c r="A174" t="s">
        <v>955</v>
      </c>
      <c r="B174" s="8"/>
    </row>
    <row r="175" spans="1:2" x14ac:dyDescent="0.2">
      <c r="A175" t="s">
        <v>956</v>
      </c>
      <c r="B175" s="8"/>
    </row>
    <row r="176" spans="1:2" x14ac:dyDescent="0.2">
      <c r="A176" t="s">
        <v>957</v>
      </c>
      <c r="B176" s="8"/>
    </row>
    <row r="177" spans="1:2" x14ac:dyDescent="0.2">
      <c r="A177" t="s">
        <v>958</v>
      </c>
      <c r="B177" s="8"/>
    </row>
    <row r="178" spans="1:2" x14ac:dyDescent="0.2">
      <c r="A178" t="s">
        <v>959</v>
      </c>
      <c r="B178" s="8"/>
    </row>
    <row r="179" spans="1:2" x14ac:dyDescent="0.2">
      <c r="A179" t="s">
        <v>960</v>
      </c>
      <c r="B179" s="8"/>
    </row>
    <row r="180" spans="1:2" x14ac:dyDescent="0.2">
      <c r="A180" t="s">
        <v>961</v>
      </c>
      <c r="B180" s="8"/>
    </row>
    <row r="181" spans="1:2" x14ac:dyDescent="0.2">
      <c r="A181" t="s">
        <v>962</v>
      </c>
      <c r="B181" s="8"/>
    </row>
    <row r="182" spans="1:2" x14ac:dyDescent="0.2">
      <c r="A182" t="s">
        <v>963</v>
      </c>
      <c r="B182" s="8"/>
    </row>
    <row r="183" spans="1:2" x14ac:dyDescent="0.2">
      <c r="A183" t="s">
        <v>964</v>
      </c>
      <c r="B183" s="8"/>
    </row>
    <row r="184" spans="1:2" x14ac:dyDescent="0.2">
      <c r="A184" t="s">
        <v>965</v>
      </c>
      <c r="B184" s="8"/>
    </row>
    <row r="185" spans="1:2" x14ac:dyDescent="0.2">
      <c r="A185" t="s">
        <v>966</v>
      </c>
      <c r="B185" s="8"/>
    </row>
    <row r="186" spans="1:2" x14ac:dyDescent="0.2">
      <c r="A186" t="s">
        <v>967</v>
      </c>
      <c r="B186" s="8"/>
    </row>
    <row r="187" spans="1:2" x14ac:dyDescent="0.2">
      <c r="A187" t="s">
        <v>968</v>
      </c>
      <c r="B187" s="8"/>
    </row>
    <row r="188" spans="1:2" x14ac:dyDescent="0.2">
      <c r="A188" t="s">
        <v>969</v>
      </c>
      <c r="B188" s="8"/>
    </row>
    <row r="189" spans="1:2" x14ac:dyDescent="0.2">
      <c r="A189" t="s">
        <v>970</v>
      </c>
      <c r="B189" s="8"/>
    </row>
    <row r="190" spans="1:2" x14ac:dyDescent="0.2">
      <c r="A190" t="s">
        <v>971</v>
      </c>
      <c r="B190" s="8"/>
    </row>
    <row r="191" spans="1:2" x14ac:dyDescent="0.2">
      <c r="A191" t="s">
        <v>972</v>
      </c>
      <c r="B191" s="8"/>
    </row>
    <row r="192" spans="1:2" x14ac:dyDescent="0.2">
      <c r="A192" t="s">
        <v>973</v>
      </c>
      <c r="B192" s="8"/>
    </row>
    <row r="193" spans="1:2" x14ac:dyDescent="0.2">
      <c r="A193" t="s">
        <v>974</v>
      </c>
      <c r="B193" s="8"/>
    </row>
    <row r="194" spans="1:2" x14ac:dyDescent="0.2">
      <c r="A194" t="s">
        <v>975</v>
      </c>
      <c r="B194" s="8"/>
    </row>
    <row r="195" spans="1:2" x14ac:dyDescent="0.2">
      <c r="A195" t="s">
        <v>976</v>
      </c>
      <c r="B195" s="8"/>
    </row>
    <row r="196" spans="1:2" x14ac:dyDescent="0.2">
      <c r="A196" t="s">
        <v>977</v>
      </c>
      <c r="B196" s="8"/>
    </row>
    <row r="197" spans="1:2" x14ac:dyDescent="0.2">
      <c r="A197" t="s">
        <v>978</v>
      </c>
      <c r="B197" s="8"/>
    </row>
    <row r="198" spans="1:2" x14ac:dyDescent="0.2">
      <c r="A198" t="s">
        <v>979</v>
      </c>
      <c r="B198" s="8"/>
    </row>
    <row r="199" spans="1:2" x14ac:dyDescent="0.2">
      <c r="A199" t="s">
        <v>980</v>
      </c>
      <c r="B199" s="8"/>
    </row>
    <row r="200" spans="1:2" x14ac:dyDescent="0.2">
      <c r="A200" t="s">
        <v>981</v>
      </c>
      <c r="B200" s="8"/>
    </row>
    <row r="201" spans="1:2" x14ac:dyDescent="0.2">
      <c r="A201" t="s">
        <v>982</v>
      </c>
      <c r="B201" s="8"/>
    </row>
    <row r="202" spans="1:2" x14ac:dyDescent="0.2">
      <c r="A202" t="s">
        <v>983</v>
      </c>
      <c r="B202" s="8"/>
    </row>
    <row r="203" spans="1:2" x14ac:dyDescent="0.2">
      <c r="A203" t="s">
        <v>984</v>
      </c>
      <c r="B203" s="8"/>
    </row>
    <row r="204" spans="1:2" x14ac:dyDescent="0.2">
      <c r="A204" t="s">
        <v>985</v>
      </c>
      <c r="B204" s="8"/>
    </row>
    <row r="205" spans="1:2" x14ac:dyDescent="0.2">
      <c r="A205" t="s">
        <v>986</v>
      </c>
      <c r="B205" s="8"/>
    </row>
  </sheetData>
  <sortState xmlns:xlrd2="http://schemas.microsoft.com/office/spreadsheetml/2017/richdata2" ref="C17:C150">
    <sortCondition ref="C17:C150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7"/>
  <sheetViews>
    <sheetView workbookViewId="0">
      <pane ySplit="15" topLeftCell="A16" activePane="bottomLeft" state="frozen"/>
      <selection pane="bottomLeft" activeCell="E48" sqref="E48"/>
    </sheetView>
  </sheetViews>
  <sheetFormatPr baseColWidth="10" defaultRowHeight="16" x14ac:dyDescent="0.2"/>
  <cols>
    <col min="1" max="1" width="47.83203125" customWidth="1"/>
    <col min="2" max="2" width="4" customWidth="1"/>
    <col min="3" max="3" width="5.1640625" customWidth="1"/>
    <col min="4" max="4" width="8.1640625" customWidth="1"/>
    <col min="5" max="5" width="8.33203125" customWidth="1"/>
    <col min="6" max="6" width="6.5" customWidth="1"/>
    <col min="7" max="7" width="7.33203125" customWidth="1"/>
    <col min="8" max="8" width="7" customWidth="1"/>
    <col min="9" max="9" width="6.83203125" customWidth="1"/>
    <col min="11" max="14" width="9.6640625" customWidth="1"/>
    <col min="15" max="16" width="13.1640625" customWidth="1"/>
    <col min="17" max="17" width="9.6640625" customWidth="1"/>
    <col min="18" max="20" width="15" customWidth="1"/>
    <col min="22" max="26" width="17.5" customWidth="1"/>
  </cols>
  <sheetData>
    <row r="1" spans="1:27" x14ac:dyDescent="0.2">
      <c r="A1" s="1" t="s">
        <v>67</v>
      </c>
      <c r="B1" s="1"/>
    </row>
    <row r="2" spans="1:27" x14ac:dyDescent="0.2">
      <c r="A2" t="s">
        <v>68</v>
      </c>
    </row>
    <row r="4" spans="1:27" s="12" customFormat="1" ht="264" x14ac:dyDescent="0.2">
      <c r="A4" s="12" t="s">
        <v>7</v>
      </c>
      <c r="B4" s="60" t="s">
        <v>251</v>
      </c>
      <c r="C4" s="60" t="s">
        <v>178</v>
      </c>
      <c r="D4" s="60" t="s">
        <v>252</v>
      </c>
      <c r="E4" s="60" t="s">
        <v>179</v>
      </c>
      <c r="F4" s="59" t="s">
        <v>335</v>
      </c>
      <c r="G4" s="60"/>
      <c r="H4" s="60"/>
      <c r="I4" s="60" t="s">
        <v>198</v>
      </c>
      <c r="J4" s="60"/>
      <c r="K4" s="60" t="s">
        <v>180</v>
      </c>
      <c r="L4" s="60"/>
      <c r="M4" s="60" t="s">
        <v>181</v>
      </c>
      <c r="N4" s="60" t="s">
        <v>182</v>
      </c>
      <c r="O4" s="60" t="s">
        <v>193</v>
      </c>
      <c r="P4" s="60" t="s">
        <v>196</v>
      </c>
      <c r="Q4" s="60" t="s">
        <v>481</v>
      </c>
      <c r="R4" s="60" t="s">
        <v>293</v>
      </c>
      <c r="S4" s="60"/>
      <c r="T4" s="60"/>
      <c r="U4" s="60" t="s">
        <v>299</v>
      </c>
      <c r="V4" s="60" t="s">
        <v>300</v>
      </c>
      <c r="W4" s="60" t="s">
        <v>179</v>
      </c>
      <c r="X4" s="60"/>
      <c r="Y4" s="60"/>
      <c r="Z4" s="60" t="s">
        <v>198</v>
      </c>
      <c r="AA4" s="60"/>
    </row>
    <row r="5" spans="1:27" x14ac:dyDescent="0.2">
      <c r="F5" t="s">
        <v>336</v>
      </c>
      <c r="I5" t="s">
        <v>197</v>
      </c>
    </row>
    <row r="6" spans="1:27" x14ac:dyDescent="0.2">
      <c r="K6" t="s">
        <v>253</v>
      </c>
    </row>
    <row r="7" spans="1:27" x14ac:dyDescent="0.2">
      <c r="K7" t="s">
        <v>254</v>
      </c>
    </row>
    <row r="8" spans="1:27" x14ac:dyDescent="0.2">
      <c r="F8" s="35" t="s">
        <v>337</v>
      </c>
    </row>
    <row r="9" spans="1:27" x14ac:dyDescent="0.2">
      <c r="B9" t="s">
        <v>298</v>
      </c>
      <c r="F9" s="35" t="s">
        <v>8</v>
      </c>
    </row>
    <row r="10" spans="1:27" x14ac:dyDescent="0.2">
      <c r="F10" s="35" t="s">
        <v>9</v>
      </c>
      <c r="W10" t="s">
        <v>47</v>
      </c>
    </row>
    <row r="11" spans="1:27" x14ac:dyDescent="0.2">
      <c r="B11" t="s">
        <v>8</v>
      </c>
      <c r="C11" t="s">
        <v>8</v>
      </c>
      <c r="D11" t="s">
        <v>298</v>
      </c>
      <c r="E11" t="s">
        <v>47</v>
      </c>
      <c r="F11" s="35"/>
      <c r="G11" t="s">
        <v>72</v>
      </c>
      <c r="H11" t="s">
        <v>75</v>
      </c>
      <c r="J11" t="s">
        <v>77</v>
      </c>
      <c r="L11" t="s">
        <v>318</v>
      </c>
      <c r="W11" t="s">
        <v>48</v>
      </c>
      <c r="X11" t="s">
        <v>72</v>
      </c>
      <c r="Y11" t="s">
        <v>75</v>
      </c>
      <c r="AA11" t="s">
        <v>77</v>
      </c>
    </row>
    <row r="12" spans="1:27" x14ac:dyDescent="0.2">
      <c r="A12" s="19" t="s">
        <v>173</v>
      </c>
      <c r="B12" t="s">
        <v>9</v>
      </c>
      <c r="C12" t="s">
        <v>9</v>
      </c>
      <c r="E12" t="s">
        <v>48</v>
      </c>
      <c r="F12" s="35" t="s">
        <v>413</v>
      </c>
      <c r="G12" t="s">
        <v>73</v>
      </c>
      <c r="H12" t="s">
        <v>76</v>
      </c>
      <c r="I12" t="s">
        <v>8</v>
      </c>
      <c r="K12" t="s">
        <v>79</v>
      </c>
      <c r="L12" t="s">
        <v>8</v>
      </c>
      <c r="W12" t="s">
        <v>71</v>
      </c>
      <c r="X12" t="s">
        <v>73</v>
      </c>
      <c r="Y12" t="s">
        <v>76</v>
      </c>
      <c r="Z12" t="s">
        <v>8</v>
      </c>
    </row>
    <row r="13" spans="1:27" x14ac:dyDescent="0.2">
      <c r="E13" t="s">
        <v>71</v>
      </c>
      <c r="F13" s="35" t="s">
        <v>9</v>
      </c>
      <c r="G13" t="s">
        <v>74</v>
      </c>
      <c r="H13" t="s">
        <v>74</v>
      </c>
      <c r="I13" t="s">
        <v>9</v>
      </c>
      <c r="K13" t="s">
        <v>80</v>
      </c>
      <c r="L13" t="s">
        <v>9</v>
      </c>
      <c r="W13" t="s">
        <v>225</v>
      </c>
      <c r="X13" t="s">
        <v>74</v>
      </c>
      <c r="Y13" t="s">
        <v>74</v>
      </c>
      <c r="Z13" t="s">
        <v>9</v>
      </c>
    </row>
    <row r="14" spans="1:27" ht="17" thickBot="1" x14ac:dyDescent="0.25"/>
    <row r="15" spans="1:27" s="9" customFormat="1" ht="18" thickBot="1" x14ac:dyDescent="0.25">
      <c r="A15" s="9" t="s">
        <v>69</v>
      </c>
      <c r="B15" s="9" t="s">
        <v>0</v>
      </c>
      <c r="C15" s="9" t="s">
        <v>70</v>
      </c>
      <c r="D15" s="9" t="s">
        <v>82</v>
      </c>
      <c r="E15" s="9" t="s">
        <v>44</v>
      </c>
      <c r="F15" s="9" t="s">
        <v>338</v>
      </c>
      <c r="G15" s="9" t="s">
        <v>45</v>
      </c>
      <c r="H15" s="9" t="s">
        <v>51</v>
      </c>
      <c r="I15" s="9" t="s">
        <v>81</v>
      </c>
      <c r="J15" s="9" t="s">
        <v>49</v>
      </c>
      <c r="K15" s="9" t="s">
        <v>78</v>
      </c>
      <c r="L15" s="9" t="s">
        <v>317</v>
      </c>
      <c r="M15" s="9" t="s">
        <v>83</v>
      </c>
      <c r="N15" s="9" t="s">
        <v>84</v>
      </c>
      <c r="O15" s="20" t="s">
        <v>190</v>
      </c>
      <c r="P15" s="20" t="s">
        <v>191</v>
      </c>
      <c r="Q15" s="21" t="s">
        <v>195</v>
      </c>
      <c r="R15" s="9" t="s">
        <v>310</v>
      </c>
      <c r="S15" s="9" t="s">
        <v>311</v>
      </c>
      <c r="T15" s="9" t="s">
        <v>312</v>
      </c>
      <c r="U15" s="9" t="s">
        <v>294</v>
      </c>
      <c r="V15" s="9" t="s">
        <v>295</v>
      </c>
      <c r="W15" s="9" t="s">
        <v>307</v>
      </c>
      <c r="X15" s="9" t="s">
        <v>308</v>
      </c>
      <c r="Y15" s="9" t="s">
        <v>309</v>
      </c>
      <c r="Z15" s="9" t="s">
        <v>296</v>
      </c>
      <c r="AA15" s="9" t="s">
        <v>297</v>
      </c>
    </row>
    <row r="16" spans="1:27" x14ac:dyDescent="0.2">
      <c r="A16" s="57" t="s">
        <v>728</v>
      </c>
      <c r="B16" t="s">
        <v>8</v>
      </c>
      <c r="C16" t="s">
        <v>8</v>
      </c>
      <c r="D16" t="s">
        <v>8</v>
      </c>
      <c r="E16" t="s">
        <v>48</v>
      </c>
      <c r="F16" s="16" t="s">
        <v>8</v>
      </c>
      <c r="G16" s="8">
        <v>120</v>
      </c>
      <c r="H16" s="8">
        <v>50</v>
      </c>
      <c r="I16" t="s">
        <v>8</v>
      </c>
      <c r="K16" t="s">
        <v>79</v>
      </c>
      <c r="L16" t="s">
        <v>9</v>
      </c>
      <c r="M16" t="s">
        <v>8</v>
      </c>
      <c r="N16" t="s">
        <v>8</v>
      </c>
      <c r="O16" s="8"/>
      <c r="P16" s="8"/>
      <c r="Q16" s="13">
        <f>OTUs!R16</f>
        <v>0</v>
      </c>
    </row>
    <row r="17" spans="1:14" x14ac:dyDescent="0.2">
      <c r="A17" t="s">
        <v>1050</v>
      </c>
      <c r="B17" t="s">
        <v>8</v>
      </c>
      <c r="C17" t="s">
        <v>8</v>
      </c>
      <c r="D17" t="s">
        <v>8</v>
      </c>
      <c r="E17" t="s">
        <v>48</v>
      </c>
      <c r="F17" s="16" t="s">
        <v>8</v>
      </c>
      <c r="G17" s="8">
        <v>40</v>
      </c>
      <c r="H17" s="8">
        <v>4</v>
      </c>
      <c r="I17" t="s">
        <v>8</v>
      </c>
      <c r="K17" t="s">
        <v>79</v>
      </c>
      <c r="L17" t="s">
        <v>9</v>
      </c>
      <c r="M17" t="s">
        <v>8</v>
      </c>
      <c r="N17" t="s">
        <v>8</v>
      </c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57"/>
  <sheetViews>
    <sheetView tabSelected="1" topLeftCell="G10" workbookViewId="0">
      <selection activeCell="O16" sqref="O16:O57"/>
    </sheetView>
  </sheetViews>
  <sheetFormatPr baseColWidth="10" defaultRowHeight="16" x14ac:dyDescent="0.2"/>
  <cols>
    <col min="1" max="1" width="8.1640625" customWidth="1"/>
    <col min="3" max="3" width="64.33203125" customWidth="1"/>
    <col min="4" max="4" width="43.6640625" customWidth="1"/>
    <col min="5" max="5" width="25.1640625" customWidth="1"/>
    <col min="6" max="6" width="14.33203125" customWidth="1"/>
    <col min="7" max="7" width="32.6640625" customWidth="1"/>
    <col min="8" max="8" width="32" customWidth="1"/>
    <col min="9" max="9" width="36" customWidth="1"/>
    <col min="10" max="12" width="10.6640625" customWidth="1"/>
    <col min="15" max="15" width="24.33203125" customWidth="1"/>
    <col min="16" max="16" width="17.6640625" customWidth="1"/>
    <col min="18" max="18" width="15.83203125" customWidth="1"/>
    <col min="20" max="20" width="24.33203125" customWidth="1"/>
    <col min="21" max="21" width="19.5" customWidth="1"/>
    <col min="22" max="22" width="14.33203125" customWidth="1"/>
    <col min="23" max="23" width="7" customWidth="1"/>
    <col min="24" max="26" width="15.83203125" customWidth="1"/>
    <col min="28" max="28" width="15.1640625" customWidth="1"/>
    <col min="33" max="33" width="13" customWidth="1"/>
    <col min="34" max="34" width="20.1640625" customWidth="1"/>
    <col min="35" max="35" width="12.83203125" customWidth="1"/>
    <col min="36" max="40" width="9" customWidth="1"/>
    <col min="42" max="42" width="32.1640625" customWidth="1"/>
  </cols>
  <sheetData>
    <row r="1" spans="1:50" x14ac:dyDescent="0.2">
      <c r="A1" s="1" t="s">
        <v>64</v>
      </c>
    </row>
    <row r="2" spans="1:50" x14ac:dyDescent="0.2">
      <c r="A2" t="s">
        <v>6</v>
      </c>
      <c r="K2" s="18" t="s">
        <v>347</v>
      </c>
    </row>
    <row r="3" spans="1:50" x14ac:dyDescent="0.2">
      <c r="A3" t="s">
        <v>239</v>
      </c>
    </row>
    <row r="4" spans="1:50" s="2" customFormat="1" x14ac:dyDescent="0.2"/>
    <row r="5" spans="1:50" s="2" customFormat="1" ht="17" x14ac:dyDescent="0.2">
      <c r="A5" s="11" t="s">
        <v>7</v>
      </c>
      <c r="C5" s="4" t="s">
        <v>36</v>
      </c>
      <c r="I5" s="4" t="s">
        <v>37</v>
      </c>
      <c r="N5" s="4" t="s">
        <v>20</v>
      </c>
      <c r="O5" s="4" t="s">
        <v>372</v>
      </c>
      <c r="P5" s="4" t="s">
        <v>388</v>
      </c>
      <c r="Q5" s="4"/>
      <c r="R5" s="4"/>
      <c r="S5" s="4"/>
      <c r="AI5" s="18" t="s">
        <v>245</v>
      </c>
    </row>
    <row r="6" spans="1:50" s="4" customFormat="1" ht="204" x14ac:dyDescent="0.2">
      <c r="A6" s="4" t="s">
        <v>16</v>
      </c>
      <c r="B6" s="5" t="s">
        <v>17</v>
      </c>
      <c r="C6" s="5" t="s">
        <v>11</v>
      </c>
      <c r="D6" s="5" t="s">
        <v>419</v>
      </c>
      <c r="E6" s="5" t="s">
        <v>756</v>
      </c>
      <c r="F6" s="5" t="s">
        <v>762</v>
      </c>
      <c r="G6" s="5" t="s">
        <v>754</v>
      </c>
      <c r="H6" s="5" t="s">
        <v>364</v>
      </c>
      <c r="I6" s="5" t="s">
        <v>91</v>
      </c>
      <c r="J6" s="5" t="s">
        <v>183</v>
      </c>
      <c r="K6" s="5" t="s">
        <v>184</v>
      </c>
      <c r="L6" s="5" t="s">
        <v>22</v>
      </c>
      <c r="M6" s="5" t="s">
        <v>27</v>
      </c>
      <c r="N6" s="5" t="s">
        <v>21</v>
      </c>
      <c r="O6" s="4" t="s">
        <v>374</v>
      </c>
      <c r="P6" s="4" t="s">
        <v>389</v>
      </c>
      <c r="Q6" s="11" t="s">
        <v>375</v>
      </c>
      <c r="R6" s="5" t="s">
        <v>376</v>
      </c>
      <c r="S6" s="4" t="s">
        <v>457</v>
      </c>
      <c r="T6" s="4" t="s">
        <v>28</v>
      </c>
      <c r="U6" s="11" t="s">
        <v>451</v>
      </c>
      <c r="V6" s="4" t="s">
        <v>445</v>
      </c>
      <c r="W6" s="4" t="s">
        <v>342</v>
      </c>
      <c r="X6" s="4" t="s">
        <v>323</v>
      </c>
      <c r="Y6" s="4" t="s">
        <v>476</v>
      </c>
      <c r="Z6" s="4" t="s">
        <v>470</v>
      </c>
      <c r="AA6" s="4" t="s">
        <v>97</v>
      </c>
      <c r="AB6" s="4" t="s">
        <v>444</v>
      </c>
      <c r="AC6" s="4" t="s">
        <v>30</v>
      </c>
      <c r="AD6" s="4" t="s">
        <v>447</v>
      </c>
      <c r="AE6" s="4" t="s">
        <v>98</v>
      </c>
      <c r="AF6" s="4" t="s">
        <v>33</v>
      </c>
      <c r="AG6" s="4" t="s">
        <v>232</v>
      </c>
      <c r="AH6" s="4" t="s">
        <v>393</v>
      </c>
      <c r="AI6" s="4" t="s">
        <v>417</v>
      </c>
      <c r="AJ6" s="11" t="s">
        <v>406</v>
      </c>
      <c r="AK6" s="11" t="s">
        <v>407</v>
      </c>
      <c r="AM6" s="4" t="s">
        <v>482</v>
      </c>
      <c r="AN6" s="4" t="s">
        <v>484</v>
      </c>
      <c r="AO6" s="15" t="s">
        <v>238</v>
      </c>
      <c r="AP6" s="4" t="s">
        <v>418</v>
      </c>
      <c r="AR6" s="15" t="s">
        <v>54</v>
      </c>
      <c r="AS6" s="26" t="s">
        <v>81</v>
      </c>
    </row>
    <row r="7" spans="1:50" s="2" customFormat="1" ht="136" x14ac:dyDescent="0.2">
      <c r="A7" s="4" t="s">
        <v>14</v>
      </c>
      <c r="B7" s="2" t="s">
        <v>8</v>
      </c>
      <c r="D7" s="2" t="s">
        <v>265</v>
      </c>
      <c r="E7" s="2" t="s">
        <v>761</v>
      </c>
      <c r="F7" s="2" t="s">
        <v>763</v>
      </c>
      <c r="G7" s="2" t="s">
        <v>265</v>
      </c>
      <c r="H7" s="2" t="s">
        <v>365</v>
      </c>
      <c r="I7" s="2" t="s">
        <v>264</v>
      </c>
      <c r="J7" s="6" t="s">
        <v>18</v>
      </c>
      <c r="K7" s="6" t="s">
        <v>19</v>
      </c>
      <c r="L7" s="2" t="s">
        <v>12</v>
      </c>
      <c r="M7" s="2" t="s">
        <v>89</v>
      </c>
      <c r="N7" s="2" t="s">
        <v>23</v>
      </c>
      <c r="O7" s="2" t="s">
        <v>390</v>
      </c>
      <c r="P7" s="45" t="s">
        <v>384</v>
      </c>
      <c r="R7" s="2" t="s">
        <v>458</v>
      </c>
      <c r="S7" s="6" t="s">
        <v>85</v>
      </c>
      <c r="T7" s="2" t="s">
        <v>29</v>
      </c>
      <c r="U7" s="2" t="s">
        <v>454</v>
      </c>
      <c r="V7" s="2" t="s">
        <v>437</v>
      </c>
      <c r="W7" s="2" t="s">
        <v>343</v>
      </c>
      <c r="Y7" s="2" t="s">
        <v>477</v>
      </c>
      <c r="Z7" s="2" t="s">
        <v>471</v>
      </c>
      <c r="AA7" s="2" t="s">
        <v>92</v>
      </c>
      <c r="AB7" s="2" t="s">
        <v>437</v>
      </c>
      <c r="AC7" s="2" t="s">
        <v>93</v>
      </c>
      <c r="AD7" s="2" t="s">
        <v>436</v>
      </c>
      <c r="AE7" s="2" t="s">
        <v>462</v>
      </c>
      <c r="AG7" s="2" t="s">
        <v>303</v>
      </c>
      <c r="AH7" s="2" t="s">
        <v>467</v>
      </c>
      <c r="AI7" s="2" t="s">
        <v>391</v>
      </c>
      <c r="AJ7" s="2" t="s">
        <v>483</v>
      </c>
      <c r="AK7" s="2" t="s">
        <v>485</v>
      </c>
      <c r="AL7" s="2" t="s">
        <v>304</v>
      </c>
      <c r="AM7" s="2" t="s">
        <v>483</v>
      </c>
      <c r="AN7" s="2" t="s">
        <v>485</v>
      </c>
      <c r="AO7"/>
      <c r="AP7" s="15" t="s">
        <v>53</v>
      </c>
      <c r="AQ7" s="15" t="s">
        <v>52</v>
      </c>
      <c r="AR7"/>
      <c r="AS7"/>
      <c r="AU7" s="15" t="s">
        <v>53</v>
      </c>
      <c r="AV7" s="15" t="s">
        <v>52</v>
      </c>
      <c r="AW7" s="15" t="s">
        <v>54</v>
      </c>
      <c r="AX7" s="26" t="s">
        <v>81</v>
      </c>
    </row>
    <row r="8" spans="1:50" s="2" customFormat="1" ht="187" x14ac:dyDescent="0.2">
      <c r="B8" s="2" t="s">
        <v>9</v>
      </c>
      <c r="D8" s="2" t="s">
        <v>266</v>
      </c>
      <c r="E8" s="2" t="s">
        <v>757</v>
      </c>
      <c r="F8" s="2" t="s">
        <v>766</v>
      </c>
      <c r="G8" s="2" t="s">
        <v>266</v>
      </c>
      <c r="H8" s="2" t="s">
        <v>415</v>
      </c>
      <c r="I8" s="2" t="s">
        <v>414</v>
      </c>
      <c r="K8" s="2" t="s">
        <v>373</v>
      </c>
      <c r="L8" s="2" t="s">
        <v>13</v>
      </c>
      <c r="M8" s="2" t="s">
        <v>90</v>
      </c>
      <c r="N8" s="2" t="s">
        <v>24</v>
      </c>
      <c r="P8" s="42" t="s">
        <v>385</v>
      </c>
      <c r="S8" s="2" t="s">
        <v>87</v>
      </c>
      <c r="T8" s="2" t="s">
        <v>339</v>
      </c>
      <c r="U8" s="2" t="s">
        <v>452</v>
      </c>
      <c r="V8" s="2" t="s">
        <v>446</v>
      </c>
      <c r="W8" s="2" t="s">
        <v>345</v>
      </c>
      <c r="X8" s="2" t="s">
        <v>321</v>
      </c>
      <c r="Y8" s="2" t="s">
        <v>475</v>
      </c>
      <c r="Z8" s="2" t="s">
        <v>472</v>
      </c>
      <c r="AA8" s="2" t="s">
        <v>9</v>
      </c>
      <c r="AB8" s="2" t="s">
        <v>438</v>
      </c>
      <c r="AC8" s="2" t="s">
        <v>94</v>
      </c>
      <c r="AD8" s="2" t="s">
        <v>434</v>
      </c>
      <c r="AE8" s="2" t="s">
        <v>461</v>
      </c>
      <c r="AG8" s="2" t="s">
        <v>776</v>
      </c>
      <c r="AH8" s="2" t="s">
        <v>416</v>
      </c>
      <c r="AI8" s="8" t="s">
        <v>234</v>
      </c>
      <c r="AL8" s="2" t="s">
        <v>305</v>
      </c>
      <c r="AO8" t="s">
        <v>46</v>
      </c>
      <c r="AP8" s="7" t="s">
        <v>429</v>
      </c>
      <c r="AQ8"/>
      <c r="AR8"/>
      <c r="AS8" t="s">
        <v>227</v>
      </c>
    </row>
    <row r="9" spans="1:50" s="2" customFormat="1" ht="64" customHeight="1" x14ac:dyDescent="0.2">
      <c r="B9" s="2" t="s">
        <v>246</v>
      </c>
      <c r="D9" s="2" t="s">
        <v>324</v>
      </c>
      <c r="F9" s="2" t="s">
        <v>767</v>
      </c>
      <c r="I9" s="2" t="s">
        <v>466</v>
      </c>
      <c r="N9" s="2" t="s">
        <v>38</v>
      </c>
      <c r="S9" s="2" t="s">
        <v>88</v>
      </c>
      <c r="T9" s="2" t="s">
        <v>449</v>
      </c>
      <c r="U9" s="2" t="s">
        <v>453</v>
      </c>
      <c r="X9" s="2" t="s">
        <v>322</v>
      </c>
      <c r="Y9" s="2" t="s">
        <v>474</v>
      </c>
      <c r="Z9" s="2" t="s">
        <v>473</v>
      </c>
      <c r="AC9" s="2" t="s">
        <v>95</v>
      </c>
      <c r="AD9" s="2" t="s">
        <v>435</v>
      </c>
      <c r="AE9" s="2" t="s">
        <v>459</v>
      </c>
      <c r="AG9" s="2" t="s">
        <v>777</v>
      </c>
      <c r="AH9" s="2" t="s">
        <v>439</v>
      </c>
      <c r="AI9" s="8" t="s">
        <v>255</v>
      </c>
      <c r="AO9" t="s">
        <v>47</v>
      </c>
      <c r="AP9" s="7" t="s">
        <v>430</v>
      </c>
      <c r="AQ9"/>
      <c r="AR9"/>
      <c r="AS9" t="s">
        <v>9</v>
      </c>
    </row>
    <row r="10" spans="1:50" s="2" customFormat="1" ht="77" customHeight="1" x14ac:dyDescent="0.2">
      <c r="D10" s="28" t="s">
        <v>325</v>
      </c>
      <c r="E10" s="28" t="s">
        <v>758</v>
      </c>
      <c r="F10" s="2" t="s">
        <v>764</v>
      </c>
      <c r="H10" s="28"/>
      <c r="I10" s="49" t="s">
        <v>433</v>
      </c>
      <c r="T10" s="2" t="s">
        <v>463</v>
      </c>
      <c r="V10" s="2" t="s">
        <v>448</v>
      </c>
      <c r="X10" s="2" t="s">
        <v>432</v>
      </c>
      <c r="Y10" s="2" t="s">
        <v>478</v>
      </c>
      <c r="AE10" s="2" t="s">
        <v>460</v>
      </c>
      <c r="AG10" s="2" t="s">
        <v>778</v>
      </c>
      <c r="AH10" s="2" t="s">
        <v>440</v>
      </c>
      <c r="AI10" s="2" t="s">
        <v>256</v>
      </c>
      <c r="AO10" t="s">
        <v>48</v>
      </c>
      <c r="AP10" s="7" t="s">
        <v>431</v>
      </c>
      <c r="AQ10"/>
      <c r="AR10"/>
      <c r="AS10"/>
    </row>
    <row r="11" spans="1:50" s="2" customFormat="1" ht="32" customHeight="1" x14ac:dyDescent="0.2">
      <c r="E11" s="2" t="s">
        <v>760</v>
      </c>
      <c r="F11" s="28" t="s">
        <v>765</v>
      </c>
      <c r="G11" s="2" t="s">
        <v>796</v>
      </c>
      <c r="N11" s="2" t="s">
        <v>263</v>
      </c>
      <c r="T11" s="2" t="s">
        <v>464</v>
      </c>
      <c r="X11" s="2" t="s">
        <v>455</v>
      </c>
      <c r="AE11" s="2" t="s">
        <v>346</v>
      </c>
      <c r="AO11" t="s">
        <v>71</v>
      </c>
      <c r="AQ11"/>
      <c r="AR11"/>
      <c r="AS11"/>
    </row>
    <row r="12" spans="1:50" s="18" customFormat="1" ht="34" x14ac:dyDescent="0.2">
      <c r="A12" s="19" t="s">
        <v>173</v>
      </c>
      <c r="C12" s="4" t="s">
        <v>488</v>
      </c>
      <c r="G12" s="18" t="s">
        <v>176</v>
      </c>
      <c r="I12" s="2"/>
      <c r="V12" s="2"/>
      <c r="X12" s="2" t="s">
        <v>456</v>
      </c>
      <c r="Y12" s="2"/>
      <c r="Z12" s="2"/>
      <c r="AA12" s="18" t="s">
        <v>175</v>
      </c>
      <c r="AC12" s="18" t="s">
        <v>174</v>
      </c>
      <c r="AO12" t="s">
        <v>225</v>
      </c>
      <c r="AP12"/>
      <c r="AQ12"/>
      <c r="AR12"/>
      <c r="AS12"/>
    </row>
    <row r="13" spans="1:50" s="2" customFormat="1" ht="34" x14ac:dyDescent="0.2">
      <c r="C13" t="s">
        <v>987</v>
      </c>
      <c r="D13" s="33" t="s">
        <v>360</v>
      </c>
      <c r="E13" s="33"/>
      <c r="F13" s="33"/>
      <c r="H13" s="33"/>
      <c r="T13" s="2" t="s">
        <v>341</v>
      </c>
      <c r="W13" s="18" t="s">
        <v>344</v>
      </c>
      <c r="AA13" s="18" t="s">
        <v>330</v>
      </c>
      <c r="AB13" s="18"/>
      <c r="AO13" t="s">
        <v>428</v>
      </c>
      <c r="AP13" t="s">
        <v>226</v>
      </c>
      <c r="AQ13"/>
      <c r="AR13"/>
      <c r="AS13"/>
    </row>
    <row r="14" spans="1:50" s="2" customFormat="1" ht="18" thickBot="1" x14ac:dyDescent="0.25">
      <c r="A14" s="4" t="s">
        <v>15</v>
      </c>
    </row>
    <row r="15" spans="1:50" s="3" customFormat="1" ht="52" thickBot="1" x14ac:dyDescent="0.25">
      <c r="A15" s="3" t="s">
        <v>10</v>
      </c>
      <c r="B15" s="3" t="s">
        <v>0</v>
      </c>
      <c r="C15" s="3" t="s">
        <v>5</v>
      </c>
      <c r="D15" s="3" t="s">
        <v>1</v>
      </c>
      <c r="E15" s="3" t="s">
        <v>759</v>
      </c>
      <c r="F15" s="3" t="s">
        <v>771</v>
      </c>
      <c r="G15" s="3" t="s">
        <v>34</v>
      </c>
      <c r="H15" s="3" t="s">
        <v>363</v>
      </c>
      <c r="I15" s="3" t="s">
        <v>35</v>
      </c>
      <c r="J15" s="3" t="s">
        <v>2</v>
      </c>
      <c r="K15" s="3" t="s">
        <v>3</v>
      </c>
      <c r="L15" s="3" t="s">
        <v>4</v>
      </c>
      <c r="M15" s="3" t="s">
        <v>26</v>
      </c>
      <c r="N15" s="3" t="s">
        <v>25</v>
      </c>
      <c r="O15" s="3" t="s">
        <v>370</v>
      </c>
      <c r="P15" s="3" t="s">
        <v>388</v>
      </c>
      <c r="Q15" s="3" t="s">
        <v>371</v>
      </c>
      <c r="R15" s="3" t="s">
        <v>369</v>
      </c>
      <c r="S15" s="3" t="s">
        <v>86</v>
      </c>
      <c r="T15" s="3" t="s">
        <v>31</v>
      </c>
      <c r="U15" s="3" t="s">
        <v>450</v>
      </c>
      <c r="V15" s="3" t="s">
        <v>442</v>
      </c>
      <c r="W15" s="3" t="s">
        <v>340</v>
      </c>
      <c r="X15" s="3" t="s">
        <v>320</v>
      </c>
      <c r="Y15" s="50" t="s">
        <v>468</v>
      </c>
      <c r="Z15" s="3" t="s">
        <v>469</v>
      </c>
      <c r="AA15" s="3" t="s">
        <v>96</v>
      </c>
      <c r="AB15" s="3" t="s">
        <v>443</v>
      </c>
      <c r="AC15" s="3" t="s">
        <v>32</v>
      </c>
      <c r="AD15" s="3" t="s">
        <v>441</v>
      </c>
      <c r="AE15" s="3" t="s">
        <v>100</v>
      </c>
      <c r="AF15" s="3" t="s">
        <v>33</v>
      </c>
      <c r="AG15" s="3" t="s">
        <v>368</v>
      </c>
      <c r="AH15" s="3" t="s">
        <v>392</v>
      </c>
      <c r="AI15" s="3" t="s">
        <v>233</v>
      </c>
      <c r="AJ15" s="3" t="s">
        <v>408</v>
      </c>
      <c r="AK15" s="3" t="s">
        <v>409</v>
      </c>
      <c r="AL15" s="3" t="s">
        <v>306</v>
      </c>
      <c r="AM15" s="3" t="s">
        <v>410</v>
      </c>
      <c r="AN15" s="3" t="s">
        <v>411</v>
      </c>
      <c r="AO15" s="3" t="s">
        <v>235</v>
      </c>
      <c r="AP15" s="3" t="s">
        <v>236</v>
      </c>
      <c r="AQ15" s="3" t="s">
        <v>237</v>
      </c>
      <c r="AR15" s="9" t="s">
        <v>240</v>
      </c>
      <c r="AS15" s="9" t="s">
        <v>241</v>
      </c>
      <c r="AT15" s="3" t="s">
        <v>242</v>
      </c>
      <c r="AU15" s="3" t="s">
        <v>244</v>
      </c>
      <c r="AV15" s="3" t="s">
        <v>243</v>
      </c>
      <c r="AW15" s="9" t="s">
        <v>247</v>
      </c>
      <c r="AX15" s="9" t="s">
        <v>248</v>
      </c>
    </row>
    <row r="16" spans="1:50" ht="17" x14ac:dyDescent="0.2">
      <c r="A16" s="8">
        <v>1</v>
      </c>
      <c r="B16" t="s">
        <v>8</v>
      </c>
      <c r="C16" t="s">
        <v>1051</v>
      </c>
      <c r="D16" t="s">
        <v>989</v>
      </c>
      <c r="E16" t="s">
        <v>758</v>
      </c>
      <c r="F16" s="16" t="s">
        <v>768</v>
      </c>
      <c r="G16" t="s">
        <v>729</v>
      </c>
      <c r="H16" t="s">
        <v>729</v>
      </c>
      <c r="I16" t="s">
        <v>998</v>
      </c>
      <c r="J16">
        <v>1</v>
      </c>
      <c r="K16">
        <v>211</v>
      </c>
      <c r="L16">
        <v>1</v>
      </c>
      <c r="N16" s="2" t="s">
        <v>38</v>
      </c>
      <c r="P16" s="2"/>
      <c r="Q16" s="18" t="s">
        <v>730</v>
      </c>
      <c r="R16" t="str">
        <f>"siteModel_"&amp;I16</f>
        <v>siteModel_morphFiltered2</v>
      </c>
      <c r="S16" s="2" t="s">
        <v>87</v>
      </c>
      <c r="T16" s="2" t="s">
        <v>731</v>
      </c>
      <c r="U16" s="2" t="s">
        <v>732</v>
      </c>
      <c r="V16" s="18" t="s">
        <v>733</v>
      </c>
      <c r="X16" s="2" t="s">
        <v>322</v>
      </c>
      <c r="AA16">
        <v>4</v>
      </c>
      <c r="AB16" s="18" t="s">
        <v>741</v>
      </c>
      <c r="AC16">
        <v>0</v>
      </c>
      <c r="AD16" t="str">
        <f>"baseFreqs_params_"&amp;I16</f>
        <v>baseFreqs_params_morphFiltered2</v>
      </c>
      <c r="AE16" s="2" t="s">
        <v>732</v>
      </c>
      <c r="AG16" t="s">
        <v>735</v>
      </c>
      <c r="AH16" t="str">
        <f>I16&amp;"_relRate"</f>
        <v>morphFiltered2_relRate</v>
      </c>
      <c r="AI16" t="s">
        <v>489</v>
      </c>
      <c r="AJ16">
        <v>1.0000000000000001E-5</v>
      </c>
      <c r="AK16">
        <v>2</v>
      </c>
      <c r="AL16">
        <v>0.01</v>
      </c>
      <c r="AM16">
        <v>0</v>
      </c>
      <c r="AN16">
        <v>10</v>
      </c>
      <c r="AO16" t="s">
        <v>47</v>
      </c>
      <c r="AP16">
        <v>0</v>
      </c>
      <c r="AQ16">
        <v>10</v>
      </c>
      <c r="AR16">
        <v>0</v>
      </c>
      <c r="AS16" t="s">
        <v>8</v>
      </c>
      <c r="AT16" t="s">
        <v>47</v>
      </c>
      <c r="AU16">
        <v>0</v>
      </c>
      <c r="AV16">
        <v>10</v>
      </c>
      <c r="AW16">
        <v>0</v>
      </c>
      <c r="AX16" t="s">
        <v>8</v>
      </c>
    </row>
    <row r="17" spans="1:34" ht="17" x14ac:dyDescent="0.2">
      <c r="A17" s="8">
        <v>2</v>
      </c>
      <c r="B17" t="s">
        <v>8</v>
      </c>
      <c r="C17" t="s">
        <v>1051</v>
      </c>
      <c r="D17" t="s">
        <v>990</v>
      </c>
      <c r="E17" t="s">
        <v>758</v>
      </c>
      <c r="F17" s="16" t="s">
        <v>768</v>
      </c>
      <c r="G17" t="s">
        <v>994</v>
      </c>
      <c r="H17" t="s">
        <v>994</v>
      </c>
      <c r="I17" t="s">
        <v>999</v>
      </c>
      <c r="J17">
        <v>1</v>
      </c>
      <c r="K17">
        <v>24</v>
      </c>
      <c r="L17">
        <v>1</v>
      </c>
      <c r="N17" s="2" t="s">
        <v>38</v>
      </c>
      <c r="Q17" s="18" t="s">
        <v>730</v>
      </c>
      <c r="R17" t="str">
        <f>"siteModel_"&amp;I17</f>
        <v>siteModel_morphFiltered3</v>
      </c>
      <c r="S17" s="2" t="s">
        <v>87</v>
      </c>
      <c r="T17" s="2" t="s">
        <v>731</v>
      </c>
      <c r="U17" s="2" t="s">
        <v>732</v>
      </c>
      <c r="V17" s="18" t="s">
        <v>733</v>
      </c>
      <c r="X17" s="2" t="s">
        <v>322</v>
      </c>
      <c r="AA17">
        <v>4</v>
      </c>
      <c r="AB17" s="18" t="s">
        <v>740</v>
      </c>
      <c r="AC17">
        <v>0</v>
      </c>
      <c r="AD17" t="str">
        <f>"baseFreqs_params_"&amp;I17</f>
        <v>baseFreqs_params_morphFiltered3</v>
      </c>
      <c r="AE17" s="2" t="s">
        <v>732</v>
      </c>
      <c r="AG17" t="s">
        <v>735</v>
      </c>
      <c r="AH17" t="str">
        <f t="shared" ref="AH17:AH20" si="0">I17&amp;"_relRate"</f>
        <v>morphFiltered3_relRate</v>
      </c>
    </row>
    <row r="18" spans="1:34" ht="17" x14ac:dyDescent="0.2">
      <c r="A18" s="8">
        <v>3</v>
      </c>
      <c r="B18" t="s">
        <v>8</v>
      </c>
      <c r="C18" t="s">
        <v>1051</v>
      </c>
      <c r="D18" t="s">
        <v>991</v>
      </c>
      <c r="E18" t="s">
        <v>758</v>
      </c>
      <c r="F18" s="6" t="s">
        <v>768</v>
      </c>
      <c r="G18" t="s">
        <v>995</v>
      </c>
      <c r="H18" t="s">
        <v>995</v>
      </c>
      <c r="I18" t="s">
        <v>1000</v>
      </c>
      <c r="J18">
        <v>1</v>
      </c>
      <c r="K18">
        <v>10</v>
      </c>
      <c r="L18">
        <v>1</v>
      </c>
      <c r="N18" s="2" t="s">
        <v>38</v>
      </c>
      <c r="Q18" s="18" t="s">
        <v>730</v>
      </c>
      <c r="R18" t="str">
        <f t="shared" ref="R18:R20" si="1">"siteModel_"&amp;I18</f>
        <v>siteModel_morphFiltered4</v>
      </c>
      <c r="S18" s="2" t="s">
        <v>87</v>
      </c>
      <c r="T18" s="2" t="s">
        <v>731</v>
      </c>
      <c r="U18" s="2" t="s">
        <v>732</v>
      </c>
      <c r="V18" s="18" t="s">
        <v>733</v>
      </c>
      <c r="X18" s="2" t="s">
        <v>322</v>
      </c>
      <c r="AA18">
        <v>4</v>
      </c>
      <c r="AB18" t="str">
        <f>"gammaShape_"&amp;I18</f>
        <v>gammaShape_morphFiltered4</v>
      </c>
      <c r="AC18">
        <v>0</v>
      </c>
      <c r="AD18" t="str">
        <f>"baseFreqs_params_"&amp;I18</f>
        <v>baseFreqs_params_morphFiltered4</v>
      </c>
      <c r="AE18" s="2" t="s">
        <v>732</v>
      </c>
      <c r="AG18" t="s">
        <v>735</v>
      </c>
      <c r="AH18" t="str">
        <f t="shared" si="0"/>
        <v>morphFiltered4_relRate</v>
      </c>
    </row>
    <row r="19" spans="1:34" ht="17" x14ac:dyDescent="0.2">
      <c r="A19" s="8">
        <v>4</v>
      </c>
      <c r="B19" t="s">
        <v>8</v>
      </c>
      <c r="C19" t="s">
        <v>1051</v>
      </c>
      <c r="D19" t="s">
        <v>992</v>
      </c>
      <c r="E19" t="s">
        <v>758</v>
      </c>
      <c r="F19" s="6" t="s">
        <v>768</v>
      </c>
      <c r="G19" t="s">
        <v>996</v>
      </c>
      <c r="H19" t="s">
        <v>996</v>
      </c>
      <c r="I19" t="s">
        <v>1001</v>
      </c>
      <c r="J19">
        <v>1</v>
      </c>
      <c r="K19">
        <v>5</v>
      </c>
      <c r="L19">
        <v>1</v>
      </c>
      <c r="N19" s="2" t="s">
        <v>38</v>
      </c>
      <c r="Q19" s="18" t="s">
        <v>730</v>
      </c>
      <c r="R19" t="str">
        <f t="shared" si="1"/>
        <v>siteModel_morphFiltered5</v>
      </c>
      <c r="S19" s="2" t="s">
        <v>87</v>
      </c>
      <c r="T19" s="2" t="s">
        <v>731</v>
      </c>
      <c r="U19" s="2" t="s">
        <v>732</v>
      </c>
      <c r="V19" s="18" t="s">
        <v>733</v>
      </c>
      <c r="X19" s="2" t="s">
        <v>322</v>
      </c>
      <c r="AA19">
        <v>4</v>
      </c>
      <c r="AB19" t="str">
        <f t="shared" ref="AB19:AB57" si="2">"gammaShape_"&amp;I19</f>
        <v>gammaShape_morphFiltered5</v>
      </c>
      <c r="AC19">
        <v>0</v>
      </c>
      <c r="AD19" t="str">
        <f t="shared" ref="AD19:AD57" si="3">"baseFreqs_params_"&amp;I19</f>
        <v>baseFreqs_params_morphFiltered5</v>
      </c>
      <c r="AE19" s="2" t="s">
        <v>732</v>
      </c>
      <c r="AG19" t="s">
        <v>735</v>
      </c>
      <c r="AH19" t="str">
        <f t="shared" si="0"/>
        <v>morphFiltered5_relRate</v>
      </c>
    </row>
    <row r="20" spans="1:34" ht="17" x14ac:dyDescent="0.2">
      <c r="A20" s="8">
        <v>5</v>
      </c>
      <c r="B20" t="s">
        <v>8</v>
      </c>
      <c r="C20" t="s">
        <v>1051</v>
      </c>
      <c r="D20" t="s">
        <v>993</v>
      </c>
      <c r="E20" t="s">
        <v>758</v>
      </c>
      <c r="F20" s="6" t="s">
        <v>768</v>
      </c>
      <c r="G20" t="s">
        <v>997</v>
      </c>
      <c r="H20" t="s">
        <v>997</v>
      </c>
      <c r="I20" t="s">
        <v>1002</v>
      </c>
      <c r="J20">
        <v>1</v>
      </c>
      <c r="K20">
        <v>1</v>
      </c>
      <c r="L20">
        <v>1</v>
      </c>
      <c r="N20" s="2" t="s">
        <v>38</v>
      </c>
      <c r="Q20" s="18" t="s">
        <v>730</v>
      </c>
      <c r="R20" t="str">
        <f t="shared" si="1"/>
        <v>siteModel_morphFiltered6</v>
      </c>
      <c r="S20" s="2" t="s">
        <v>87</v>
      </c>
      <c r="T20" s="2" t="s">
        <v>731</v>
      </c>
      <c r="U20" s="2" t="s">
        <v>732</v>
      </c>
      <c r="V20" s="18" t="s">
        <v>733</v>
      </c>
      <c r="X20" s="2" t="s">
        <v>322</v>
      </c>
      <c r="AA20">
        <v>1</v>
      </c>
      <c r="AB20" t="str">
        <f t="shared" si="2"/>
        <v>gammaShape_morphFiltered6</v>
      </c>
      <c r="AC20">
        <v>0</v>
      </c>
      <c r="AD20" t="str">
        <f t="shared" si="3"/>
        <v>baseFreqs_params_morphFiltered6</v>
      </c>
      <c r="AE20" s="2" t="s">
        <v>732</v>
      </c>
      <c r="AG20" t="s">
        <v>735</v>
      </c>
      <c r="AH20" t="str">
        <f t="shared" si="0"/>
        <v>morphFiltered6_relRate</v>
      </c>
    </row>
    <row r="21" spans="1:34" ht="17" x14ac:dyDescent="0.2">
      <c r="A21" s="8">
        <v>6</v>
      </c>
      <c r="B21" t="s">
        <v>8</v>
      </c>
      <c r="C21" t="s">
        <v>1051</v>
      </c>
      <c r="D21" t="s">
        <v>988</v>
      </c>
      <c r="E21" s="2" t="s">
        <v>760</v>
      </c>
      <c r="F21" s="6" t="s">
        <v>768</v>
      </c>
      <c r="G21" t="s">
        <v>755</v>
      </c>
      <c r="I21" t="s">
        <v>1003</v>
      </c>
      <c r="J21">
        <v>1</v>
      </c>
      <c r="K21">
        <v>1944</v>
      </c>
      <c r="L21">
        <v>3</v>
      </c>
      <c r="N21" s="2" t="s">
        <v>23</v>
      </c>
      <c r="Q21" s="18" t="s">
        <v>730</v>
      </c>
      <c r="R21" t="s">
        <v>1037</v>
      </c>
      <c r="S21" s="2"/>
      <c r="T21" t="s">
        <v>775</v>
      </c>
      <c r="U21" s="2"/>
      <c r="V21" t="str">
        <f t="shared" ref="V21:V57" si="4">"kappa_"&amp;I21</f>
        <v>kappa_Gene1_pos1</v>
      </c>
      <c r="AA21">
        <v>4</v>
      </c>
      <c r="AB21" t="str">
        <f t="shared" si="2"/>
        <v>gammaShape_Gene1_pos1</v>
      </c>
      <c r="AC21">
        <v>0</v>
      </c>
      <c r="AD21" t="str">
        <f t="shared" si="3"/>
        <v>baseFreqs_params_Gene1_pos1</v>
      </c>
      <c r="AE21" s="2" t="s">
        <v>94</v>
      </c>
      <c r="AG21" t="s">
        <v>735</v>
      </c>
      <c r="AH21" t="str">
        <f t="shared" ref="AH21:AH49" si="5">"relRate_"&amp;I21</f>
        <v>relRate_Gene1_pos1</v>
      </c>
    </row>
    <row r="22" spans="1:34" ht="17" x14ac:dyDescent="0.2">
      <c r="A22" s="8">
        <v>7</v>
      </c>
      <c r="B22" t="s">
        <v>8</v>
      </c>
      <c r="C22" t="s">
        <v>1051</v>
      </c>
      <c r="D22" t="s">
        <v>988</v>
      </c>
      <c r="E22" s="2" t="s">
        <v>760</v>
      </c>
      <c r="F22" s="6" t="s">
        <v>768</v>
      </c>
      <c r="G22" t="s">
        <v>755</v>
      </c>
      <c r="I22" t="s">
        <v>1004</v>
      </c>
      <c r="J22">
        <v>2</v>
      </c>
      <c r="K22">
        <v>1944</v>
      </c>
      <c r="L22">
        <v>3</v>
      </c>
      <c r="N22" s="2" t="s">
        <v>23</v>
      </c>
      <c r="Q22" s="18" t="s">
        <v>730</v>
      </c>
      <c r="R22" t="s">
        <v>1038</v>
      </c>
      <c r="S22" s="2"/>
      <c r="T22" t="s">
        <v>734</v>
      </c>
      <c r="U22" s="2"/>
      <c r="V22" t="str">
        <f t="shared" si="4"/>
        <v>kappa_Gene1_pos2</v>
      </c>
      <c r="AA22">
        <v>4</v>
      </c>
      <c r="AB22" t="str">
        <f t="shared" si="2"/>
        <v>gammaShape_Gene1_pos2</v>
      </c>
      <c r="AC22">
        <v>0</v>
      </c>
      <c r="AD22" t="str">
        <f t="shared" si="3"/>
        <v>baseFreqs_params_Gene1_pos2</v>
      </c>
      <c r="AE22" s="2" t="s">
        <v>94</v>
      </c>
      <c r="AG22" t="s">
        <v>735</v>
      </c>
      <c r="AH22" t="str">
        <f t="shared" si="5"/>
        <v>relRate_Gene1_pos2</v>
      </c>
    </row>
    <row r="23" spans="1:34" ht="17" x14ac:dyDescent="0.2">
      <c r="A23" s="8">
        <v>8</v>
      </c>
      <c r="B23" t="s">
        <v>8</v>
      </c>
      <c r="C23" t="s">
        <v>1051</v>
      </c>
      <c r="D23" t="s">
        <v>988</v>
      </c>
      <c r="E23" s="2" t="s">
        <v>760</v>
      </c>
      <c r="F23" s="6" t="s">
        <v>768</v>
      </c>
      <c r="G23" t="s">
        <v>755</v>
      </c>
      <c r="I23" t="s">
        <v>1005</v>
      </c>
      <c r="J23">
        <v>3</v>
      </c>
      <c r="K23">
        <v>1944</v>
      </c>
      <c r="L23">
        <v>3</v>
      </c>
      <c r="N23" s="2" t="s">
        <v>23</v>
      </c>
      <c r="Q23" s="18" t="s">
        <v>730</v>
      </c>
      <c r="R23" t="s">
        <v>1037</v>
      </c>
      <c r="S23" s="2"/>
      <c r="T23" t="s">
        <v>775</v>
      </c>
      <c r="U23" s="2"/>
      <c r="V23" t="str">
        <f t="shared" si="4"/>
        <v>kappa_Gene1_pos3</v>
      </c>
      <c r="AA23">
        <v>4</v>
      </c>
      <c r="AB23" t="str">
        <f t="shared" si="2"/>
        <v>gammaShape_Gene1_pos3</v>
      </c>
      <c r="AC23">
        <v>0</v>
      </c>
      <c r="AD23" t="str">
        <f t="shared" si="3"/>
        <v>baseFreqs_params_Gene1_pos3</v>
      </c>
      <c r="AE23" s="2" t="s">
        <v>94</v>
      </c>
      <c r="AG23" t="s">
        <v>735</v>
      </c>
      <c r="AH23" t="str">
        <f t="shared" si="5"/>
        <v>relRate_Gene1_pos3</v>
      </c>
    </row>
    <row r="24" spans="1:34" ht="17" x14ac:dyDescent="0.2">
      <c r="A24" s="8">
        <v>9</v>
      </c>
      <c r="B24" t="s">
        <v>8</v>
      </c>
      <c r="C24" t="s">
        <v>1051</v>
      </c>
      <c r="D24" t="s">
        <v>988</v>
      </c>
      <c r="E24" s="2" t="s">
        <v>760</v>
      </c>
      <c r="F24" s="6" t="s">
        <v>768</v>
      </c>
      <c r="G24" t="s">
        <v>755</v>
      </c>
      <c r="I24" t="s">
        <v>1006</v>
      </c>
      <c r="J24">
        <v>1945</v>
      </c>
      <c r="K24">
        <v>3583</v>
      </c>
      <c r="L24">
        <v>3</v>
      </c>
      <c r="N24" s="2" t="s">
        <v>23</v>
      </c>
      <c r="Q24" s="18" t="s">
        <v>730</v>
      </c>
      <c r="R24" t="s">
        <v>1039</v>
      </c>
      <c r="S24" s="2"/>
      <c r="T24" t="s">
        <v>734</v>
      </c>
      <c r="U24" s="2"/>
      <c r="V24" t="str">
        <f t="shared" si="4"/>
        <v>kappa_Gene2_pos1</v>
      </c>
      <c r="AA24">
        <v>4</v>
      </c>
      <c r="AB24" t="str">
        <f t="shared" si="2"/>
        <v>gammaShape_Gene2_pos1</v>
      </c>
      <c r="AC24">
        <v>0</v>
      </c>
      <c r="AD24" t="str">
        <f t="shared" si="3"/>
        <v>baseFreqs_params_Gene2_pos1</v>
      </c>
      <c r="AE24" s="2" t="s">
        <v>94</v>
      </c>
      <c r="AG24" t="s">
        <v>735</v>
      </c>
      <c r="AH24" t="str">
        <f t="shared" si="5"/>
        <v>relRate_Gene2_pos1</v>
      </c>
    </row>
    <row r="25" spans="1:34" ht="17" x14ac:dyDescent="0.2">
      <c r="A25" s="8">
        <v>10</v>
      </c>
      <c r="B25" t="s">
        <v>8</v>
      </c>
      <c r="C25" t="s">
        <v>1051</v>
      </c>
      <c r="D25" t="s">
        <v>988</v>
      </c>
      <c r="E25" s="2" t="s">
        <v>760</v>
      </c>
      <c r="F25" s="6" t="s">
        <v>768</v>
      </c>
      <c r="G25" t="s">
        <v>755</v>
      </c>
      <c r="I25" t="s">
        <v>1007</v>
      </c>
      <c r="J25">
        <v>1946</v>
      </c>
      <c r="K25">
        <v>3583</v>
      </c>
      <c r="L25">
        <v>3</v>
      </c>
      <c r="N25" s="2" t="s">
        <v>23</v>
      </c>
      <c r="Q25" s="18" t="s">
        <v>730</v>
      </c>
      <c r="R25" t="s">
        <v>1039</v>
      </c>
      <c r="S25" s="2"/>
      <c r="T25" t="s">
        <v>734</v>
      </c>
      <c r="U25" s="2"/>
      <c r="V25" t="str">
        <f t="shared" si="4"/>
        <v>kappa_Gene2_pos2</v>
      </c>
      <c r="AA25">
        <v>4</v>
      </c>
      <c r="AB25" t="str">
        <f t="shared" si="2"/>
        <v>gammaShape_Gene2_pos2</v>
      </c>
      <c r="AC25">
        <v>0</v>
      </c>
      <c r="AD25" t="str">
        <f t="shared" si="3"/>
        <v>baseFreqs_params_Gene2_pos2</v>
      </c>
      <c r="AE25" s="2" t="s">
        <v>94</v>
      </c>
      <c r="AG25" t="s">
        <v>735</v>
      </c>
      <c r="AH25" t="str">
        <f t="shared" si="5"/>
        <v>relRate_Gene2_pos2</v>
      </c>
    </row>
    <row r="26" spans="1:34" ht="17" x14ac:dyDescent="0.2">
      <c r="A26" s="8">
        <v>11</v>
      </c>
      <c r="B26" t="s">
        <v>8</v>
      </c>
      <c r="C26" t="s">
        <v>1051</v>
      </c>
      <c r="D26" t="s">
        <v>988</v>
      </c>
      <c r="E26" s="2" t="s">
        <v>760</v>
      </c>
      <c r="F26" s="6" t="s">
        <v>768</v>
      </c>
      <c r="G26" t="s">
        <v>755</v>
      </c>
      <c r="I26" t="s">
        <v>1008</v>
      </c>
      <c r="J26">
        <v>1947</v>
      </c>
      <c r="K26">
        <v>3583</v>
      </c>
      <c r="L26">
        <v>3</v>
      </c>
      <c r="N26" s="2" t="s">
        <v>23</v>
      </c>
      <c r="Q26" s="18" t="s">
        <v>730</v>
      </c>
      <c r="R26" t="s">
        <v>1040</v>
      </c>
      <c r="S26" s="2"/>
      <c r="T26" t="s">
        <v>734</v>
      </c>
      <c r="U26" s="2"/>
      <c r="V26" t="str">
        <f t="shared" si="4"/>
        <v>kappa_Gene2_pos3</v>
      </c>
      <c r="AA26">
        <v>4</v>
      </c>
      <c r="AB26" t="str">
        <f t="shared" si="2"/>
        <v>gammaShape_Gene2_pos3</v>
      </c>
      <c r="AC26">
        <v>0</v>
      </c>
      <c r="AD26" t="str">
        <f t="shared" si="3"/>
        <v>baseFreqs_params_Gene2_pos3</v>
      </c>
      <c r="AE26" s="2" t="s">
        <v>94</v>
      </c>
      <c r="AG26" t="s">
        <v>735</v>
      </c>
      <c r="AH26" t="str">
        <f t="shared" si="5"/>
        <v>relRate_Gene2_pos3</v>
      </c>
    </row>
    <row r="27" spans="1:34" ht="17" x14ac:dyDescent="0.2">
      <c r="A27" s="8">
        <v>12</v>
      </c>
      <c r="B27" t="s">
        <v>8</v>
      </c>
      <c r="C27" t="s">
        <v>1051</v>
      </c>
      <c r="D27" t="s">
        <v>988</v>
      </c>
      <c r="E27" s="2" t="s">
        <v>760</v>
      </c>
      <c r="F27" s="6" t="s">
        <v>768</v>
      </c>
      <c r="G27" t="s">
        <v>755</v>
      </c>
      <c r="I27" t="s">
        <v>1009</v>
      </c>
      <c r="J27">
        <v>3584</v>
      </c>
      <c r="K27">
        <v>5276</v>
      </c>
      <c r="L27">
        <v>3</v>
      </c>
      <c r="N27" s="2" t="s">
        <v>23</v>
      </c>
      <c r="Q27" s="18" t="s">
        <v>730</v>
      </c>
      <c r="R27" t="s">
        <v>1038</v>
      </c>
      <c r="S27" s="2"/>
      <c r="T27" t="s">
        <v>734</v>
      </c>
      <c r="U27" s="2"/>
      <c r="V27" t="str">
        <f t="shared" si="4"/>
        <v>kappa_Gene3_pos1</v>
      </c>
      <c r="AA27">
        <v>4</v>
      </c>
      <c r="AB27" t="str">
        <f t="shared" si="2"/>
        <v>gammaShape_Gene3_pos1</v>
      </c>
      <c r="AC27">
        <v>0</v>
      </c>
      <c r="AD27" t="str">
        <f t="shared" si="3"/>
        <v>baseFreqs_params_Gene3_pos1</v>
      </c>
      <c r="AE27" s="2" t="s">
        <v>94</v>
      </c>
      <c r="AG27" t="s">
        <v>735</v>
      </c>
      <c r="AH27" t="str">
        <f t="shared" si="5"/>
        <v>relRate_Gene3_pos1</v>
      </c>
    </row>
    <row r="28" spans="1:34" ht="17" x14ac:dyDescent="0.2">
      <c r="A28" s="8">
        <v>13</v>
      </c>
      <c r="B28" t="s">
        <v>8</v>
      </c>
      <c r="C28" t="s">
        <v>1051</v>
      </c>
      <c r="D28" t="s">
        <v>988</v>
      </c>
      <c r="E28" s="2" t="s">
        <v>760</v>
      </c>
      <c r="F28" s="6" t="s">
        <v>768</v>
      </c>
      <c r="G28" t="s">
        <v>755</v>
      </c>
      <c r="I28" t="s">
        <v>1010</v>
      </c>
      <c r="J28">
        <v>3585</v>
      </c>
      <c r="K28">
        <v>5276</v>
      </c>
      <c r="L28">
        <v>3</v>
      </c>
      <c r="M28" s="8"/>
      <c r="N28" s="2" t="s">
        <v>23</v>
      </c>
      <c r="Q28" s="18" t="s">
        <v>730</v>
      </c>
      <c r="R28" t="s">
        <v>1039</v>
      </c>
      <c r="S28" s="2"/>
      <c r="T28" t="s">
        <v>734</v>
      </c>
      <c r="U28" s="2"/>
      <c r="V28" t="str">
        <f t="shared" si="4"/>
        <v>kappa_Gene3_pos2</v>
      </c>
      <c r="AA28">
        <v>4</v>
      </c>
      <c r="AB28" t="str">
        <f t="shared" si="2"/>
        <v>gammaShape_Gene3_pos2</v>
      </c>
      <c r="AC28">
        <v>0</v>
      </c>
      <c r="AD28" t="str">
        <f t="shared" si="3"/>
        <v>baseFreqs_params_Gene3_pos2</v>
      </c>
      <c r="AE28" s="2" t="s">
        <v>94</v>
      </c>
      <c r="AG28" t="s">
        <v>735</v>
      </c>
      <c r="AH28" t="str">
        <f t="shared" si="5"/>
        <v>relRate_Gene3_pos2</v>
      </c>
    </row>
    <row r="29" spans="1:34" ht="17" x14ac:dyDescent="0.2">
      <c r="A29" s="8">
        <v>14</v>
      </c>
      <c r="B29" t="s">
        <v>8</v>
      </c>
      <c r="C29" t="s">
        <v>1051</v>
      </c>
      <c r="D29" t="s">
        <v>988</v>
      </c>
      <c r="E29" s="2" t="s">
        <v>760</v>
      </c>
      <c r="F29" s="6" t="s">
        <v>768</v>
      </c>
      <c r="G29" t="s">
        <v>755</v>
      </c>
      <c r="I29" t="s">
        <v>1011</v>
      </c>
      <c r="J29">
        <v>3586</v>
      </c>
      <c r="K29">
        <v>5276</v>
      </c>
      <c r="L29">
        <v>3</v>
      </c>
      <c r="N29" s="2" t="s">
        <v>23</v>
      </c>
      <c r="Q29" s="18" t="s">
        <v>730</v>
      </c>
      <c r="R29" t="s">
        <v>1039</v>
      </c>
      <c r="S29" s="2"/>
      <c r="T29" t="s">
        <v>734</v>
      </c>
      <c r="U29" s="2"/>
      <c r="V29" t="str">
        <f t="shared" si="4"/>
        <v>kappa_Gene3_pos3</v>
      </c>
      <c r="AA29">
        <v>4</v>
      </c>
      <c r="AB29" t="str">
        <f t="shared" si="2"/>
        <v>gammaShape_Gene3_pos3</v>
      </c>
      <c r="AC29">
        <v>0</v>
      </c>
      <c r="AD29" t="str">
        <f t="shared" si="3"/>
        <v>baseFreqs_params_Gene3_pos3</v>
      </c>
      <c r="AE29" s="2" t="s">
        <v>94</v>
      </c>
      <c r="AG29" t="s">
        <v>735</v>
      </c>
      <c r="AH29" t="str">
        <f t="shared" si="5"/>
        <v>relRate_Gene3_pos3</v>
      </c>
    </row>
    <row r="30" spans="1:34" ht="17" x14ac:dyDescent="0.2">
      <c r="A30" s="8">
        <v>15</v>
      </c>
      <c r="B30" t="s">
        <v>8</v>
      </c>
      <c r="C30" t="s">
        <v>1051</v>
      </c>
      <c r="D30" t="s">
        <v>988</v>
      </c>
      <c r="E30" s="2" t="s">
        <v>760</v>
      </c>
      <c r="F30" s="6" t="s">
        <v>768</v>
      </c>
      <c r="G30" t="s">
        <v>755</v>
      </c>
      <c r="I30" t="s">
        <v>1012</v>
      </c>
      <c r="J30">
        <v>5277</v>
      </c>
      <c r="K30">
        <v>7303</v>
      </c>
      <c r="L30">
        <v>3</v>
      </c>
      <c r="N30" s="2" t="s">
        <v>23</v>
      </c>
      <c r="Q30" s="18" t="s">
        <v>730</v>
      </c>
      <c r="R30" t="s">
        <v>1038</v>
      </c>
      <c r="S30" s="2"/>
      <c r="T30" t="s">
        <v>734</v>
      </c>
      <c r="U30" s="2"/>
      <c r="V30" t="str">
        <f t="shared" si="4"/>
        <v>kappa_Gene4_pos1</v>
      </c>
      <c r="AA30">
        <v>4</v>
      </c>
      <c r="AB30" t="str">
        <f t="shared" si="2"/>
        <v>gammaShape_Gene4_pos1</v>
      </c>
      <c r="AC30">
        <v>0</v>
      </c>
      <c r="AD30" t="str">
        <f t="shared" si="3"/>
        <v>baseFreqs_params_Gene4_pos1</v>
      </c>
      <c r="AE30" s="2" t="s">
        <v>94</v>
      </c>
      <c r="AG30" t="s">
        <v>735</v>
      </c>
      <c r="AH30" t="str">
        <f t="shared" si="5"/>
        <v>relRate_Gene4_pos1</v>
      </c>
    </row>
    <row r="31" spans="1:34" ht="17" x14ac:dyDescent="0.2">
      <c r="A31" s="8">
        <v>16</v>
      </c>
      <c r="B31" t="s">
        <v>8</v>
      </c>
      <c r="C31" t="s">
        <v>1051</v>
      </c>
      <c r="D31" t="s">
        <v>988</v>
      </c>
      <c r="E31" s="2" t="s">
        <v>760</v>
      </c>
      <c r="F31" s="6" t="s">
        <v>768</v>
      </c>
      <c r="G31" t="s">
        <v>755</v>
      </c>
      <c r="I31" t="s">
        <v>1013</v>
      </c>
      <c r="J31">
        <v>5278</v>
      </c>
      <c r="K31">
        <v>7303</v>
      </c>
      <c r="L31">
        <v>3</v>
      </c>
      <c r="N31" s="2" t="s">
        <v>23</v>
      </c>
      <c r="Q31" s="18" t="s">
        <v>730</v>
      </c>
      <c r="R31" t="s">
        <v>1041</v>
      </c>
      <c r="S31" s="2"/>
      <c r="T31" t="s">
        <v>775</v>
      </c>
      <c r="U31" s="2"/>
      <c r="V31" t="str">
        <f t="shared" si="4"/>
        <v>kappa_Gene4_pos2</v>
      </c>
      <c r="AA31">
        <v>4</v>
      </c>
      <c r="AB31" t="str">
        <f t="shared" si="2"/>
        <v>gammaShape_Gene4_pos2</v>
      </c>
      <c r="AC31">
        <v>0</v>
      </c>
      <c r="AD31" t="str">
        <f t="shared" si="3"/>
        <v>baseFreqs_params_Gene4_pos2</v>
      </c>
      <c r="AE31" s="2" t="s">
        <v>94</v>
      </c>
      <c r="AG31" t="s">
        <v>735</v>
      </c>
      <c r="AH31" t="str">
        <f t="shared" si="5"/>
        <v>relRate_Gene4_pos2</v>
      </c>
    </row>
    <row r="32" spans="1:34" ht="17" x14ac:dyDescent="0.2">
      <c r="A32" s="8">
        <v>17</v>
      </c>
      <c r="B32" t="s">
        <v>8</v>
      </c>
      <c r="C32" t="s">
        <v>1051</v>
      </c>
      <c r="D32" t="s">
        <v>988</v>
      </c>
      <c r="E32" s="2" t="s">
        <v>760</v>
      </c>
      <c r="F32" s="6" t="s">
        <v>768</v>
      </c>
      <c r="G32" t="s">
        <v>755</v>
      </c>
      <c r="I32" t="s">
        <v>1014</v>
      </c>
      <c r="J32">
        <v>5279</v>
      </c>
      <c r="K32">
        <v>7303</v>
      </c>
      <c r="L32">
        <v>3</v>
      </c>
      <c r="N32" s="2" t="s">
        <v>23</v>
      </c>
      <c r="Q32" s="18" t="s">
        <v>730</v>
      </c>
      <c r="R32" t="s">
        <v>1042</v>
      </c>
      <c r="S32" s="2"/>
      <c r="T32" s="8" t="s">
        <v>734</v>
      </c>
      <c r="U32" s="2"/>
      <c r="V32" t="str">
        <f t="shared" si="4"/>
        <v>kappa_Gene4_pos3</v>
      </c>
      <c r="AA32">
        <v>4</v>
      </c>
      <c r="AB32" t="str">
        <f t="shared" si="2"/>
        <v>gammaShape_Gene4_pos3</v>
      </c>
      <c r="AC32">
        <v>0</v>
      </c>
      <c r="AD32" t="str">
        <f t="shared" si="3"/>
        <v>baseFreqs_params_Gene4_pos3</v>
      </c>
      <c r="AE32" s="2" t="s">
        <v>94</v>
      </c>
      <c r="AG32" t="s">
        <v>735</v>
      </c>
      <c r="AH32" t="str">
        <f t="shared" si="5"/>
        <v>relRate_Gene4_pos3</v>
      </c>
    </row>
    <row r="33" spans="1:34" ht="17" x14ac:dyDescent="0.2">
      <c r="A33" s="8">
        <v>18</v>
      </c>
      <c r="B33" t="s">
        <v>8</v>
      </c>
      <c r="C33" t="s">
        <v>1051</v>
      </c>
      <c r="D33" t="s">
        <v>988</v>
      </c>
      <c r="E33" s="2" t="s">
        <v>760</v>
      </c>
      <c r="F33" s="6" t="s">
        <v>768</v>
      </c>
      <c r="G33" t="s">
        <v>755</v>
      </c>
      <c r="I33" t="s">
        <v>1015</v>
      </c>
      <c r="J33">
        <v>7304</v>
      </c>
      <c r="K33">
        <v>9285</v>
      </c>
      <c r="L33">
        <v>3</v>
      </c>
      <c r="N33" s="2" t="s">
        <v>23</v>
      </c>
      <c r="Q33" s="18" t="s">
        <v>730</v>
      </c>
      <c r="R33" t="s">
        <v>1041</v>
      </c>
      <c r="S33" s="2"/>
      <c r="T33" s="8" t="s">
        <v>734</v>
      </c>
      <c r="U33" s="2"/>
      <c r="V33" t="str">
        <f t="shared" si="4"/>
        <v>kappa_Gene5_pos1</v>
      </c>
      <c r="AA33">
        <v>4</v>
      </c>
      <c r="AB33" t="str">
        <f t="shared" si="2"/>
        <v>gammaShape_Gene5_pos1</v>
      </c>
      <c r="AC33">
        <v>0</v>
      </c>
      <c r="AD33" t="str">
        <f t="shared" si="3"/>
        <v>baseFreqs_params_Gene5_pos1</v>
      </c>
      <c r="AE33" s="2" t="s">
        <v>94</v>
      </c>
      <c r="AG33" t="s">
        <v>735</v>
      </c>
      <c r="AH33" t="str">
        <f t="shared" si="5"/>
        <v>relRate_Gene5_pos1</v>
      </c>
    </row>
    <row r="34" spans="1:34" ht="17" x14ac:dyDescent="0.2">
      <c r="A34" s="8">
        <v>19</v>
      </c>
      <c r="B34" t="s">
        <v>8</v>
      </c>
      <c r="C34" t="s">
        <v>1051</v>
      </c>
      <c r="D34" t="s">
        <v>988</v>
      </c>
      <c r="E34" s="2" t="s">
        <v>760</v>
      </c>
      <c r="F34" s="6" t="s">
        <v>768</v>
      </c>
      <c r="G34" t="s">
        <v>755</v>
      </c>
      <c r="I34" t="s">
        <v>1016</v>
      </c>
      <c r="J34">
        <v>7305</v>
      </c>
      <c r="K34">
        <v>9285</v>
      </c>
      <c r="L34">
        <v>3</v>
      </c>
      <c r="N34" s="2" t="s">
        <v>23</v>
      </c>
      <c r="Q34" s="18" t="s">
        <v>730</v>
      </c>
      <c r="R34" t="s">
        <v>1042</v>
      </c>
      <c r="S34" s="2"/>
      <c r="T34" s="8" t="s">
        <v>734</v>
      </c>
      <c r="U34" s="2"/>
      <c r="V34" t="str">
        <f t="shared" si="4"/>
        <v>kappa_Gene5_pos2</v>
      </c>
      <c r="AA34">
        <v>4</v>
      </c>
      <c r="AB34" t="str">
        <f t="shared" si="2"/>
        <v>gammaShape_Gene5_pos2</v>
      </c>
      <c r="AC34">
        <v>0</v>
      </c>
      <c r="AD34" t="str">
        <f t="shared" si="3"/>
        <v>baseFreqs_params_Gene5_pos2</v>
      </c>
      <c r="AE34" s="2" t="s">
        <v>94</v>
      </c>
      <c r="AG34" t="s">
        <v>735</v>
      </c>
      <c r="AH34" t="str">
        <f t="shared" si="5"/>
        <v>relRate_Gene5_pos2</v>
      </c>
    </row>
    <row r="35" spans="1:34" ht="17" x14ac:dyDescent="0.2">
      <c r="A35" s="8">
        <v>20</v>
      </c>
      <c r="B35" t="s">
        <v>8</v>
      </c>
      <c r="C35" t="s">
        <v>1051</v>
      </c>
      <c r="D35" t="s">
        <v>988</v>
      </c>
      <c r="E35" s="2" t="s">
        <v>760</v>
      </c>
      <c r="F35" s="6" t="s">
        <v>768</v>
      </c>
      <c r="G35" t="s">
        <v>755</v>
      </c>
      <c r="I35" t="s">
        <v>1017</v>
      </c>
      <c r="J35">
        <v>7306</v>
      </c>
      <c r="K35">
        <v>9285</v>
      </c>
      <c r="L35">
        <v>3</v>
      </c>
      <c r="N35" s="2" t="s">
        <v>23</v>
      </c>
      <c r="Q35" s="18" t="s">
        <v>730</v>
      </c>
      <c r="R35" t="s">
        <v>1038</v>
      </c>
      <c r="S35" s="2"/>
      <c r="T35" t="s">
        <v>734</v>
      </c>
      <c r="U35" s="2"/>
      <c r="V35" t="str">
        <f t="shared" si="4"/>
        <v>kappa_Gene5_pos3</v>
      </c>
      <c r="AA35">
        <v>4</v>
      </c>
      <c r="AB35" t="str">
        <f t="shared" si="2"/>
        <v>gammaShape_Gene5_pos3</v>
      </c>
      <c r="AC35">
        <v>0</v>
      </c>
      <c r="AD35" t="str">
        <f t="shared" si="3"/>
        <v>baseFreqs_params_Gene5_pos3</v>
      </c>
      <c r="AE35" s="2" t="s">
        <v>94</v>
      </c>
      <c r="AG35" t="s">
        <v>735</v>
      </c>
      <c r="AH35" t="str">
        <f t="shared" si="5"/>
        <v>relRate_Gene5_pos3</v>
      </c>
    </row>
    <row r="36" spans="1:34" ht="17" x14ac:dyDescent="0.2">
      <c r="A36" s="8">
        <v>21</v>
      </c>
      <c r="B36" t="s">
        <v>8</v>
      </c>
      <c r="C36" t="s">
        <v>1051</v>
      </c>
      <c r="D36" t="s">
        <v>988</v>
      </c>
      <c r="E36" s="2" t="s">
        <v>760</v>
      </c>
      <c r="F36" s="6" t="s">
        <v>768</v>
      </c>
      <c r="G36" t="s">
        <v>755</v>
      </c>
      <c r="I36" t="s">
        <v>1018</v>
      </c>
      <c r="J36">
        <v>9286</v>
      </c>
      <c r="K36">
        <v>11426</v>
      </c>
      <c r="L36">
        <v>3</v>
      </c>
      <c r="N36" s="2" t="s">
        <v>23</v>
      </c>
      <c r="Q36" s="18" t="s">
        <v>730</v>
      </c>
      <c r="R36" t="s">
        <v>1041</v>
      </c>
      <c r="S36" s="2"/>
      <c r="T36" s="8" t="s">
        <v>734</v>
      </c>
      <c r="U36" s="2"/>
      <c r="V36" t="str">
        <f t="shared" si="4"/>
        <v>kappa_Gene6_pos1</v>
      </c>
      <c r="AA36">
        <v>4</v>
      </c>
      <c r="AB36" t="str">
        <f t="shared" si="2"/>
        <v>gammaShape_Gene6_pos1</v>
      </c>
      <c r="AC36">
        <v>0</v>
      </c>
      <c r="AD36" t="str">
        <f t="shared" si="3"/>
        <v>baseFreqs_params_Gene6_pos1</v>
      </c>
      <c r="AE36" s="2" t="s">
        <v>94</v>
      </c>
      <c r="AG36" t="s">
        <v>735</v>
      </c>
      <c r="AH36" t="str">
        <f t="shared" si="5"/>
        <v>relRate_Gene6_pos1</v>
      </c>
    </row>
    <row r="37" spans="1:34" ht="17" x14ac:dyDescent="0.2">
      <c r="A37" s="8">
        <v>22</v>
      </c>
      <c r="B37" t="s">
        <v>8</v>
      </c>
      <c r="C37" t="s">
        <v>1051</v>
      </c>
      <c r="D37" t="s">
        <v>988</v>
      </c>
      <c r="E37" s="2" t="s">
        <v>760</v>
      </c>
      <c r="F37" s="6" t="s">
        <v>768</v>
      </c>
      <c r="G37" t="s">
        <v>755</v>
      </c>
      <c r="I37" t="s">
        <v>1019</v>
      </c>
      <c r="J37">
        <v>9287</v>
      </c>
      <c r="K37">
        <v>11426</v>
      </c>
      <c r="L37">
        <v>3</v>
      </c>
      <c r="N37" s="2" t="s">
        <v>23</v>
      </c>
      <c r="Q37" s="18" t="s">
        <v>730</v>
      </c>
      <c r="R37" t="s">
        <v>1040</v>
      </c>
      <c r="S37" s="2"/>
      <c r="T37" t="s">
        <v>734</v>
      </c>
      <c r="U37" s="2"/>
      <c r="V37" t="str">
        <f t="shared" si="4"/>
        <v>kappa_Gene6_pos2</v>
      </c>
      <c r="AA37">
        <v>4</v>
      </c>
      <c r="AB37" t="str">
        <f t="shared" si="2"/>
        <v>gammaShape_Gene6_pos2</v>
      </c>
      <c r="AC37">
        <v>0</v>
      </c>
      <c r="AD37" t="str">
        <f t="shared" si="3"/>
        <v>baseFreqs_params_Gene6_pos2</v>
      </c>
      <c r="AE37" s="2" t="s">
        <v>94</v>
      </c>
      <c r="AG37" t="s">
        <v>735</v>
      </c>
      <c r="AH37" t="str">
        <f t="shared" si="5"/>
        <v>relRate_Gene6_pos2</v>
      </c>
    </row>
    <row r="38" spans="1:34" ht="17" x14ac:dyDescent="0.2">
      <c r="A38" s="8">
        <v>23</v>
      </c>
      <c r="B38" t="s">
        <v>8</v>
      </c>
      <c r="C38" t="s">
        <v>1051</v>
      </c>
      <c r="D38" t="s">
        <v>988</v>
      </c>
      <c r="E38" s="2" t="s">
        <v>760</v>
      </c>
      <c r="F38" s="6" t="s">
        <v>768</v>
      </c>
      <c r="G38" t="s">
        <v>755</v>
      </c>
      <c r="I38" t="s">
        <v>1020</v>
      </c>
      <c r="J38">
        <v>9288</v>
      </c>
      <c r="K38">
        <v>11426</v>
      </c>
      <c r="L38">
        <v>3</v>
      </c>
      <c r="N38" s="2" t="s">
        <v>23</v>
      </c>
      <c r="Q38" s="18" t="s">
        <v>730</v>
      </c>
      <c r="R38" t="s">
        <v>1041</v>
      </c>
      <c r="S38" s="2"/>
      <c r="T38" s="8" t="s">
        <v>734</v>
      </c>
      <c r="U38" s="2"/>
      <c r="V38" t="str">
        <f t="shared" si="4"/>
        <v>kappa_Gene6_pos3</v>
      </c>
      <c r="AA38">
        <v>4</v>
      </c>
      <c r="AB38" t="str">
        <f t="shared" si="2"/>
        <v>gammaShape_Gene6_pos3</v>
      </c>
      <c r="AC38">
        <v>0</v>
      </c>
      <c r="AD38" t="str">
        <f t="shared" si="3"/>
        <v>baseFreqs_params_Gene6_pos3</v>
      </c>
      <c r="AE38" s="2" t="s">
        <v>94</v>
      </c>
      <c r="AG38" t="s">
        <v>735</v>
      </c>
      <c r="AH38" t="str">
        <f t="shared" si="5"/>
        <v>relRate_Gene6_pos3</v>
      </c>
    </row>
    <row r="39" spans="1:34" ht="17" x14ac:dyDescent="0.2">
      <c r="A39" s="8">
        <v>24</v>
      </c>
      <c r="B39" t="s">
        <v>8</v>
      </c>
      <c r="C39" t="s">
        <v>1051</v>
      </c>
      <c r="D39" t="s">
        <v>988</v>
      </c>
      <c r="E39" s="2" t="s">
        <v>760</v>
      </c>
      <c r="F39" s="6" t="s">
        <v>768</v>
      </c>
      <c r="G39" t="s">
        <v>755</v>
      </c>
      <c r="I39" t="s">
        <v>1021</v>
      </c>
      <c r="J39">
        <v>11427</v>
      </c>
      <c r="K39">
        <v>13142</v>
      </c>
      <c r="L39">
        <v>3</v>
      </c>
      <c r="N39" s="2" t="s">
        <v>23</v>
      </c>
      <c r="Q39" s="18" t="s">
        <v>730</v>
      </c>
      <c r="R39" t="s">
        <v>1038</v>
      </c>
      <c r="S39" s="2"/>
      <c r="T39" t="s">
        <v>734</v>
      </c>
      <c r="U39" s="2"/>
      <c r="V39" t="str">
        <f t="shared" si="4"/>
        <v>kappa_Gene7_pos1</v>
      </c>
      <c r="AA39">
        <v>4</v>
      </c>
      <c r="AB39" t="str">
        <f t="shared" si="2"/>
        <v>gammaShape_Gene7_pos1</v>
      </c>
      <c r="AC39">
        <v>0</v>
      </c>
      <c r="AD39" t="str">
        <f t="shared" si="3"/>
        <v>baseFreqs_params_Gene7_pos1</v>
      </c>
      <c r="AE39" s="2" t="s">
        <v>94</v>
      </c>
      <c r="AG39" t="s">
        <v>735</v>
      </c>
      <c r="AH39" t="str">
        <f t="shared" si="5"/>
        <v>relRate_Gene7_pos1</v>
      </c>
    </row>
    <row r="40" spans="1:34" ht="17" x14ac:dyDescent="0.2">
      <c r="A40" s="8">
        <v>25</v>
      </c>
      <c r="B40" t="s">
        <v>8</v>
      </c>
      <c r="C40" t="s">
        <v>1051</v>
      </c>
      <c r="D40" t="s">
        <v>988</v>
      </c>
      <c r="E40" s="2" t="s">
        <v>760</v>
      </c>
      <c r="F40" s="6" t="s">
        <v>768</v>
      </c>
      <c r="G40" t="s">
        <v>755</v>
      </c>
      <c r="I40" t="s">
        <v>1022</v>
      </c>
      <c r="J40">
        <v>11428</v>
      </c>
      <c r="K40">
        <v>13142</v>
      </c>
      <c r="L40">
        <v>3</v>
      </c>
      <c r="N40" s="2" t="s">
        <v>23</v>
      </c>
      <c r="Q40" s="18" t="s">
        <v>730</v>
      </c>
      <c r="R40" t="s">
        <v>1037</v>
      </c>
      <c r="S40" s="2"/>
      <c r="T40" t="s">
        <v>775</v>
      </c>
      <c r="U40" s="2"/>
      <c r="V40" t="str">
        <f t="shared" si="4"/>
        <v>kappa_Gene7_pos2</v>
      </c>
      <c r="AA40">
        <v>4</v>
      </c>
      <c r="AB40" t="str">
        <f t="shared" si="2"/>
        <v>gammaShape_Gene7_pos2</v>
      </c>
      <c r="AC40">
        <v>0</v>
      </c>
      <c r="AD40" t="str">
        <f t="shared" si="3"/>
        <v>baseFreqs_params_Gene7_pos2</v>
      </c>
      <c r="AE40" s="2" t="s">
        <v>94</v>
      </c>
      <c r="AG40" t="s">
        <v>735</v>
      </c>
      <c r="AH40" t="str">
        <f t="shared" si="5"/>
        <v>relRate_Gene7_pos2</v>
      </c>
    </row>
    <row r="41" spans="1:34" ht="17" x14ac:dyDescent="0.2">
      <c r="A41" s="8">
        <v>26</v>
      </c>
      <c r="B41" t="s">
        <v>8</v>
      </c>
      <c r="C41" t="s">
        <v>1051</v>
      </c>
      <c r="D41" t="s">
        <v>988</v>
      </c>
      <c r="E41" s="2" t="s">
        <v>760</v>
      </c>
      <c r="F41" s="6" t="s">
        <v>768</v>
      </c>
      <c r="G41" t="s">
        <v>755</v>
      </c>
      <c r="I41" t="s">
        <v>1023</v>
      </c>
      <c r="J41">
        <v>11429</v>
      </c>
      <c r="K41">
        <v>13142</v>
      </c>
      <c r="L41">
        <v>3</v>
      </c>
      <c r="N41" s="2" t="s">
        <v>23</v>
      </c>
      <c r="Q41" s="18" t="s">
        <v>730</v>
      </c>
      <c r="R41" t="s">
        <v>1037</v>
      </c>
      <c r="S41" s="2"/>
      <c r="T41" t="s">
        <v>775</v>
      </c>
      <c r="U41" s="2"/>
      <c r="V41" t="str">
        <f t="shared" si="4"/>
        <v>kappa_Gene7_pos3</v>
      </c>
      <c r="AA41">
        <v>4</v>
      </c>
      <c r="AB41" t="str">
        <f t="shared" si="2"/>
        <v>gammaShape_Gene7_pos3</v>
      </c>
      <c r="AC41">
        <v>0</v>
      </c>
      <c r="AD41" t="str">
        <f t="shared" si="3"/>
        <v>baseFreqs_params_Gene7_pos3</v>
      </c>
      <c r="AE41" s="2" t="s">
        <v>94</v>
      </c>
      <c r="AG41" t="s">
        <v>735</v>
      </c>
      <c r="AH41" t="str">
        <f t="shared" si="5"/>
        <v>relRate_Gene7_pos3</v>
      </c>
    </row>
    <row r="42" spans="1:34" ht="17" x14ac:dyDescent="0.2">
      <c r="A42" s="8">
        <v>27</v>
      </c>
      <c r="B42" t="s">
        <v>8</v>
      </c>
      <c r="C42" t="s">
        <v>1051</v>
      </c>
      <c r="D42" t="s">
        <v>988</v>
      </c>
      <c r="E42" s="2" t="s">
        <v>760</v>
      </c>
      <c r="F42" s="6" t="s">
        <v>768</v>
      </c>
      <c r="G42" t="s">
        <v>755</v>
      </c>
      <c r="I42" t="s">
        <v>1024</v>
      </c>
      <c r="J42">
        <v>13143</v>
      </c>
      <c r="K42">
        <v>15055</v>
      </c>
      <c r="L42">
        <v>3</v>
      </c>
      <c r="N42" s="2" t="s">
        <v>23</v>
      </c>
      <c r="Q42" s="18" t="s">
        <v>730</v>
      </c>
      <c r="R42" t="s">
        <v>1043</v>
      </c>
      <c r="S42" s="2"/>
      <c r="T42" s="8" t="s">
        <v>734</v>
      </c>
      <c r="U42" s="2"/>
      <c r="V42" t="str">
        <f t="shared" si="4"/>
        <v>kappa_Gene8_pos1</v>
      </c>
      <c r="AA42">
        <v>4</v>
      </c>
      <c r="AB42" t="str">
        <f t="shared" si="2"/>
        <v>gammaShape_Gene8_pos1</v>
      </c>
      <c r="AC42">
        <v>0</v>
      </c>
      <c r="AD42" t="str">
        <f t="shared" si="3"/>
        <v>baseFreqs_params_Gene8_pos1</v>
      </c>
      <c r="AE42" s="2" t="s">
        <v>94</v>
      </c>
      <c r="AG42" t="s">
        <v>735</v>
      </c>
      <c r="AH42" t="str">
        <f t="shared" si="5"/>
        <v>relRate_Gene8_pos1</v>
      </c>
    </row>
    <row r="43" spans="1:34" ht="17" x14ac:dyDescent="0.2">
      <c r="A43" s="8">
        <v>28</v>
      </c>
      <c r="B43" t="s">
        <v>8</v>
      </c>
      <c r="C43" t="s">
        <v>1051</v>
      </c>
      <c r="D43" t="s">
        <v>988</v>
      </c>
      <c r="E43" s="2" t="s">
        <v>760</v>
      </c>
      <c r="F43" s="6" t="s">
        <v>768</v>
      </c>
      <c r="G43" t="s">
        <v>755</v>
      </c>
      <c r="I43" t="s">
        <v>1025</v>
      </c>
      <c r="J43">
        <v>13144</v>
      </c>
      <c r="K43">
        <v>15055</v>
      </c>
      <c r="L43">
        <v>3</v>
      </c>
      <c r="N43" s="2" t="s">
        <v>23</v>
      </c>
      <c r="Q43" s="18" t="s">
        <v>730</v>
      </c>
      <c r="R43" t="s">
        <v>1042</v>
      </c>
      <c r="S43" s="2"/>
      <c r="T43" s="8" t="s">
        <v>734</v>
      </c>
      <c r="U43" s="2"/>
      <c r="V43" t="str">
        <f t="shared" si="4"/>
        <v>kappa_Gene8_pos2</v>
      </c>
      <c r="AA43">
        <v>4</v>
      </c>
      <c r="AB43" t="str">
        <f t="shared" si="2"/>
        <v>gammaShape_Gene8_pos2</v>
      </c>
      <c r="AC43">
        <v>0</v>
      </c>
      <c r="AD43" t="str">
        <f t="shared" si="3"/>
        <v>baseFreqs_params_Gene8_pos2</v>
      </c>
      <c r="AE43" s="2" t="s">
        <v>94</v>
      </c>
      <c r="AG43" t="s">
        <v>735</v>
      </c>
      <c r="AH43" t="str">
        <f t="shared" si="5"/>
        <v>relRate_Gene8_pos2</v>
      </c>
    </row>
    <row r="44" spans="1:34" ht="17" x14ac:dyDescent="0.2">
      <c r="A44" s="8">
        <v>29</v>
      </c>
      <c r="B44" t="s">
        <v>8</v>
      </c>
      <c r="C44" t="s">
        <v>1051</v>
      </c>
      <c r="D44" t="s">
        <v>988</v>
      </c>
      <c r="E44" s="2" t="s">
        <v>760</v>
      </c>
      <c r="F44" s="6" t="s">
        <v>768</v>
      </c>
      <c r="G44" t="s">
        <v>755</v>
      </c>
      <c r="I44" t="s">
        <v>1026</v>
      </c>
      <c r="J44">
        <v>13145</v>
      </c>
      <c r="K44">
        <v>15055</v>
      </c>
      <c r="L44">
        <v>3</v>
      </c>
      <c r="N44" s="2" t="s">
        <v>23</v>
      </c>
      <c r="Q44" s="18" t="s">
        <v>730</v>
      </c>
      <c r="R44" t="s">
        <v>1044</v>
      </c>
      <c r="S44" s="2"/>
      <c r="T44" s="8" t="s">
        <v>734</v>
      </c>
      <c r="U44" s="2"/>
      <c r="V44" t="str">
        <f t="shared" si="4"/>
        <v>kappa_Gene8_pos3</v>
      </c>
      <c r="AA44">
        <v>4</v>
      </c>
      <c r="AB44" t="str">
        <f t="shared" si="2"/>
        <v>gammaShape_Gene8_pos3</v>
      </c>
      <c r="AC44">
        <v>0</v>
      </c>
      <c r="AD44" t="str">
        <f t="shared" si="3"/>
        <v>baseFreqs_params_Gene8_pos3</v>
      </c>
      <c r="AE44" s="2" t="s">
        <v>94</v>
      </c>
      <c r="AG44" t="s">
        <v>735</v>
      </c>
      <c r="AH44" t="str">
        <f t="shared" si="5"/>
        <v>relRate_Gene8_pos3</v>
      </c>
    </row>
    <row r="45" spans="1:34" ht="17" x14ac:dyDescent="0.2">
      <c r="A45" s="8">
        <v>30</v>
      </c>
      <c r="B45" t="s">
        <v>8</v>
      </c>
      <c r="C45" t="s">
        <v>1051</v>
      </c>
      <c r="D45" t="s">
        <v>988</v>
      </c>
      <c r="E45" s="2" t="s">
        <v>760</v>
      </c>
      <c r="F45" s="6" t="s">
        <v>768</v>
      </c>
      <c r="G45" t="s">
        <v>755</v>
      </c>
      <c r="I45" t="s">
        <v>1027</v>
      </c>
      <c r="J45">
        <v>15056</v>
      </c>
      <c r="K45">
        <v>16805</v>
      </c>
      <c r="L45">
        <v>3</v>
      </c>
      <c r="N45" s="2" t="s">
        <v>23</v>
      </c>
      <c r="Q45" s="18" t="s">
        <v>730</v>
      </c>
      <c r="R45" t="s">
        <v>1044</v>
      </c>
      <c r="S45" s="2"/>
      <c r="T45" s="8" t="s">
        <v>734</v>
      </c>
      <c r="U45" s="2"/>
      <c r="V45" t="str">
        <f t="shared" si="4"/>
        <v>kappa_Gene9_pos1</v>
      </c>
      <c r="AA45">
        <v>4</v>
      </c>
      <c r="AB45" t="str">
        <f t="shared" si="2"/>
        <v>gammaShape_Gene9_pos1</v>
      </c>
      <c r="AC45">
        <v>0</v>
      </c>
      <c r="AD45" t="str">
        <f t="shared" si="3"/>
        <v>baseFreqs_params_Gene9_pos1</v>
      </c>
      <c r="AE45" s="2" t="s">
        <v>94</v>
      </c>
      <c r="AG45" t="s">
        <v>735</v>
      </c>
      <c r="AH45" t="str">
        <f t="shared" si="5"/>
        <v>relRate_Gene9_pos1</v>
      </c>
    </row>
    <row r="46" spans="1:34" ht="17" x14ac:dyDescent="0.2">
      <c r="A46" s="8">
        <v>31</v>
      </c>
      <c r="B46" t="s">
        <v>8</v>
      </c>
      <c r="C46" t="s">
        <v>1051</v>
      </c>
      <c r="D46" t="s">
        <v>988</v>
      </c>
      <c r="E46" s="2" t="s">
        <v>760</v>
      </c>
      <c r="F46" s="6" t="s">
        <v>768</v>
      </c>
      <c r="G46" t="s">
        <v>755</v>
      </c>
      <c r="I46" t="s">
        <v>1028</v>
      </c>
      <c r="J46">
        <v>15057</v>
      </c>
      <c r="K46">
        <v>16805</v>
      </c>
      <c r="L46">
        <v>3</v>
      </c>
      <c r="N46" s="2" t="s">
        <v>23</v>
      </c>
      <c r="Q46" s="18" t="s">
        <v>730</v>
      </c>
      <c r="R46" t="s">
        <v>1037</v>
      </c>
      <c r="S46" s="2"/>
      <c r="T46" t="s">
        <v>775</v>
      </c>
      <c r="U46" s="2"/>
      <c r="V46" t="str">
        <f t="shared" si="4"/>
        <v>kappa_Gene9_pos2</v>
      </c>
      <c r="AA46">
        <v>4</v>
      </c>
      <c r="AB46" t="str">
        <f t="shared" si="2"/>
        <v>gammaShape_Gene9_pos2</v>
      </c>
      <c r="AC46">
        <v>0</v>
      </c>
      <c r="AD46" t="str">
        <f t="shared" si="3"/>
        <v>baseFreqs_params_Gene9_pos2</v>
      </c>
      <c r="AE46" s="2" t="s">
        <v>94</v>
      </c>
      <c r="AG46" t="s">
        <v>735</v>
      </c>
      <c r="AH46" t="str">
        <f t="shared" si="5"/>
        <v>relRate_Gene9_pos2</v>
      </c>
    </row>
    <row r="47" spans="1:34" ht="17" x14ac:dyDescent="0.2">
      <c r="A47" s="8">
        <v>32</v>
      </c>
      <c r="B47" t="s">
        <v>8</v>
      </c>
      <c r="C47" t="s">
        <v>1051</v>
      </c>
      <c r="D47" t="s">
        <v>988</v>
      </c>
      <c r="E47" s="2" t="s">
        <v>760</v>
      </c>
      <c r="F47" s="6" t="s">
        <v>768</v>
      </c>
      <c r="G47" t="s">
        <v>755</v>
      </c>
      <c r="I47" t="s">
        <v>1029</v>
      </c>
      <c r="J47">
        <v>15058</v>
      </c>
      <c r="K47">
        <v>16805</v>
      </c>
      <c r="L47">
        <v>3</v>
      </c>
      <c r="N47" s="2" t="s">
        <v>23</v>
      </c>
      <c r="Q47" s="18" t="s">
        <v>730</v>
      </c>
      <c r="R47" t="s">
        <v>1037</v>
      </c>
      <c r="S47" s="2"/>
      <c r="T47" t="s">
        <v>775</v>
      </c>
      <c r="U47" s="2"/>
      <c r="V47" t="str">
        <f t="shared" si="4"/>
        <v>kappa_Gene9_pos3</v>
      </c>
      <c r="AA47">
        <v>4</v>
      </c>
      <c r="AB47" t="str">
        <f t="shared" si="2"/>
        <v>gammaShape_Gene9_pos3</v>
      </c>
      <c r="AC47">
        <v>0</v>
      </c>
      <c r="AD47" t="str">
        <f t="shared" si="3"/>
        <v>baseFreqs_params_Gene9_pos3</v>
      </c>
      <c r="AE47" s="2" t="s">
        <v>94</v>
      </c>
      <c r="AG47" t="s">
        <v>735</v>
      </c>
      <c r="AH47" t="str">
        <f t="shared" si="5"/>
        <v>relRate_Gene9_pos3</v>
      </c>
    </row>
    <row r="48" spans="1:34" ht="17" x14ac:dyDescent="0.2">
      <c r="A48" s="8">
        <v>33</v>
      </c>
      <c r="B48" t="s">
        <v>8</v>
      </c>
      <c r="C48" t="s">
        <v>1051</v>
      </c>
      <c r="D48" t="s">
        <v>988</v>
      </c>
      <c r="E48" s="2" t="s">
        <v>760</v>
      </c>
      <c r="F48" s="6" t="s">
        <v>768</v>
      </c>
      <c r="G48" t="s">
        <v>755</v>
      </c>
      <c r="I48" t="s">
        <v>1030</v>
      </c>
      <c r="J48">
        <v>16806</v>
      </c>
      <c r="K48">
        <v>18234</v>
      </c>
      <c r="L48">
        <v>3</v>
      </c>
      <c r="N48" s="2" t="s">
        <v>23</v>
      </c>
      <c r="Q48" s="18" t="s">
        <v>730</v>
      </c>
      <c r="R48" t="s">
        <v>1045</v>
      </c>
      <c r="S48" s="2"/>
      <c r="T48" s="8" t="s">
        <v>734</v>
      </c>
      <c r="U48" s="2"/>
      <c r="V48" t="str">
        <f t="shared" si="4"/>
        <v>kappa_Gene10_pos1</v>
      </c>
      <c r="AA48">
        <v>4</v>
      </c>
      <c r="AB48" t="str">
        <f t="shared" si="2"/>
        <v>gammaShape_Gene10_pos1</v>
      </c>
      <c r="AC48">
        <v>0</v>
      </c>
      <c r="AD48" t="str">
        <f t="shared" si="3"/>
        <v>baseFreqs_params_Gene10_pos1</v>
      </c>
      <c r="AE48" s="2" t="s">
        <v>94</v>
      </c>
      <c r="AG48" t="s">
        <v>735</v>
      </c>
      <c r="AH48" t="str">
        <f t="shared" si="5"/>
        <v>relRate_Gene10_pos1</v>
      </c>
    </row>
    <row r="49" spans="1:34" ht="17" x14ac:dyDescent="0.2">
      <c r="A49" s="8">
        <v>34</v>
      </c>
      <c r="B49" t="s">
        <v>8</v>
      </c>
      <c r="C49" t="s">
        <v>1051</v>
      </c>
      <c r="D49" t="s">
        <v>988</v>
      </c>
      <c r="E49" s="2" t="s">
        <v>760</v>
      </c>
      <c r="F49" s="6" t="s">
        <v>768</v>
      </c>
      <c r="G49" t="s">
        <v>755</v>
      </c>
      <c r="I49" t="s">
        <v>1031</v>
      </c>
      <c r="J49">
        <v>16807</v>
      </c>
      <c r="K49">
        <v>18234</v>
      </c>
      <c r="L49">
        <v>3</v>
      </c>
      <c r="N49" s="2" t="s">
        <v>23</v>
      </c>
      <c r="Q49" s="18" t="s">
        <v>730</v>
      </c>
      <c r="R49" t="s">
        <v>1045</v>
      </c>
      <c r="S49" s="2"/>
      <c r="T49" s="8" t="s">
        <v>734</v>
      </c>
      <c r="U49" s="2"/>
      <c r="V49" t="str">
        <f t="shared" si="4"/>
        <v>kappa_Gene10_pos2</v>
      </c>
      <c r="AA49">
        <v>4</v>
      </c>
      <c r="AB49" t="str">
        <f t="shared" si="2"/>
        <v>gammaShape_Gene10_pos2</v>
      </c>
      <c r="AC49">
        <v>0</v>
      </c>
      <c r="AD49" t="str">
        <f t="shared" si="3"/>
        <v>baseFreqs_params_Gene10_pos2</v>
      </c>
      <c r="AE49" s="2" t="s">
        <v>94</v>
      </c>
      <c r="AG49" t="s">
        <v>735</v>
      </c>
      <c r="AH49" t="str">
        <f t="shared" si="5"/>
        <v>relRate_Gene10_pos2</v>
      </c>
    </row>
    <row r="50" spans="1:34" ht="17" x14ac:dyDescent="0.2">
      <c r="A50" s="8">
        <v>35</v>
      </c>
      <c r="B50" t="s">
        <v>8</v>
      </c>
      <c r="C50" t="s">
        <v>1051</v>
      </c>
      <c r="D50" t="s">
        <v>988</v>
      </c>
      <c r="E50" s="2" t="s">
        <v>760</v>
      </c>
      <c r="F50" s="6" t="s">
        <v>768</v>
      </c>
      <c r="G50" t="s">
        <v>755</v>
      </c>
      <c r="I50" t="s">
        <v>1032</v>
      </c>
      <c r="J50">
        <v>16808</v>
      </c>
      <c r="K50">
        <v>18234</v>
      </c>
      <c r="L50">
        <v>3</v>
      </c>
      <c r="N50" s="2" t="s">
        <v>23</v>
      </c>
      <c r="Q50" s="18" t="s">
        <v>730</v>
      </c>
      <c r="R50" t="s">
        <v>1045</v>
      </c>
      <c r="S50" s="2"/>
      <c r="T50" t="s">
        <v>734</v>
      </c>
      <c r="U50" s="2"/>
      <c r="V50" t="str">
        <f t="shared" si="4"/>
        <v>kappa_Gene10_pos3</v>
      </c>
      <c r="AA50">
        <v>4</v>
      </c>
      <c r="AB50" t="str">
        <f t="shared" si="2"/>
        <v>gammaShape_Gene10_pos3</v>
      </c>
      <c r="AC50">
        <v>0</v>
      </c>
      <c r="AD50" t="str">
        <f t="shared" si="3"/>
        <v>baseFreqs_params_Gene10_pos3</v>
      </c>
      <c r="AE50" s="2" t="s">
        <v>94</v>
      </c>
      <c r="AG50" t="s">
        <v>735</v>
      </c>
      <c r="AH50" t="str">
        <f t="shared" ref="AH50:AH57" si="6">"relRate_"&amp;I50</f>
        <v>relRate_Gene10_pos3</v>
      </c>
    </row>
    <row r="51" spans="1:34" ht="17" x14ac:dyDescent="0.2">
      <c r="A51" s="8">
        <v>36</v>
      </c>
      <c r="B51" t="s">
        <v>8</v>
      </c>
      <c r="C51" t="s">
        <v>1051</v>
      </c>
      <c r="D51" t="s">
        <v>988</v>
      </c>
      <c r="E51" s="2" t="s">
        <v>760</v>
      </c>
      <c r="F51" s="6" t="s">
        <v>768</v>
      </c>
      <c r="G51" t="s">
        <v>755</v>
      </c>
      <c r="I51" t="s">
        <v>1033</v>
      </c>
      <c r="J51">
        <v>18235</v>
      </c>
      <c r="K51">
        <v>19303</v>
      </c>
      <c r="L51">
        <v>3</v>
      </c>
      <c r="N51" s="2" t="s">
        <v>23</v>
      </c>
      <c r="Q51" s="18" t="s">
        <v>730</v>
      </c>
      <c r="R51" t="s">
        <v>1046</v>
      </c>
      <c r="S51" s="2"/>
      <c r="T51" t="s">
        <v>775</v>
      </c>
      <c r="U51" s="2"/>
      <c r="V51" t="str">
        <f t="shared" si="4"/>
        <v>kappa_Cytb_pos1</v>
      </c>
      <c r="AA51">
        <v>4</v>
      </c>
      <c r="AB51" t="str">
        <f t="shared" si="2"/>
        <v>gammaShape_Cytb_pos1</v>
      </c>
      <c r="AC51">
        <v>0</v>
      </c>
      <c r="AD51" t="str">
        <f t="shared" si="3"/>
        <v>baseFreqs_params_Cytb_pos1</v>
      </c>
      <c r="AE51" s="2" t="s">
        <v>94</v>
      </c>
      <c r="AG51" t="s">
        <v>735</v>
      </c>
      <c r="AH51" t="str">
        <f t="shared" si="6"/>
        <v>relRate_Cytb_pos1</v>
      </c>
    </row>
    <row r="52" spans="1:34" ht="17" x14ac:dyDescent="0.2">
      <c r="A52" s="8">
        <v>37</v>
      </c>
      <c r="B52" t="s">
        <v>8</v>
      </c>
      <c r="C52" t="s">
        <v>1051</v>
      </c>
      <c r="D52" t="s">
        <v>988</v>
      </c>
      <c r="E52" s="2" t="s">
        <v>760</v>
      </c>
      <c r="F52" s="6" t="s">
        <v>768</v>
      </c>
      <c r="G52" t="s">
        <v>755</v>
      </c>
      <c r="I52" t="s">
        <v>1034</v>
      </c>
      <c r="J52">
        <v>18236</v>
      </c>
      <c r="K52">
        <v>19303</v>
      </c>
      <c r="L52">
        <v>3</v>
      </c>
      <c r="N52" s="2" t="s">
        <v>23</v>
      </c>
      <c r="Q52" s="18" t="s">
        <v>730</v>
      </c>
      <c r="R52" t="s">
        <v>1047</v>
      </c>
      <c r="S52" s="2"/>
      <c r="T52" t="s">
        <v>734</v>
      </c>
      <c r="U52" s="2"/>
      <c r="V52" t="str">
        <f t="shared" si="4"/>
        <v>kappa_Cytb_pos2</v>
      </c>
      <c r="AA52">
        <v>4</v>
      </c>
      <c r="AB52" t="str">
        <f t="shared" si="2"/>
        <v>gammaShape_Cytb_pos2</v>
      </c>
      <c r="AC52">
        <v>0</v>
      </c>
      <c r="AD52" t="str">
        <f t="shared" si="3"/>
        <v>baseFreqs_params_Cytb_pos2</v>
      </c>
      <c r="AE52" s="2" t="s">
        <v>94</v>
      </c>
      <c r="AG52" t="s">
        <v>735</v>
      </c>
      <c r="AH52" t="str">
        <f t="shared" si="6"/>
        <v>relRate_Cytb_pos2</v>
      </c>
    </row>
    <row r="53" spans="1:34" ht="17" x14ac:dyDescent="0.2">
      <c r="A53" s="8">
        <v>38</v>
      </c>
      <c r="B53" t="s">
        <v>8</v>
      </c>
      <c r="C53" t="s">
        <v>1051</v>
      </c>
      <c r="D53" t="s">
        <v>988</v>
      </c>
      <c r="E53" s="2" t="s">
        <v>760</v>
      </c>
      <c r="F53" s="6" t="s">
        <v>768</v>
      </c>
      <c r="G53" t="s">
        <v>755</v>
      </c>
      <c r="I53" t="s">
        <v>1035</v>
      </c>
      <c r="J53">
        <v>18237</v>
      </c>
      <c r="K53">
        <v>19303</v>
      </c>
      <c r="L53">
        <v>3</v>
      </c>
      <c r="N53" s="2" t="s">
        <v>23</v>
      </c>
      <c r="Q53" s="18" t="s">
        <v>730</v>
      </c>
      <c r="R53" t="s">
        <v>1048</v>
      </c>
      <c r="S53" s="2"/>
      <c r="T53" t="s">
        <v>775</v>
      </c>
      <c r="U53" s="2"/>
      <c r="V53" t="str">
        <f t="shared" si="4"/>
        <v>kappa_Cytb_pos3</v>
      </c>
      <c r="AA53">
        <v>4</v>
      </c>
      <c r="AB53" t="str">
        <f t="shared" si="2"/>
        <v>gammaShape_Cytb_pos3</v>
      </c>
      <c r="AC53">
        <v>0</v>
      </c>
      <c r="AD53" t="str">
        <f t="shared" si="3"/>
        <v>baseFreqs_params_Cytb_pos3</v>
      </c>
      <c r="AE53" s="2" t="s">
        <v>94</v>
      </c>
      <c r="AG53" t="s">
        <v>735</v>
      </c>
      <c r="AH53" t="str">
        <f t="shared" si="6"/>
        <v>relRate_Cytb_pos3</v>
      </c>
    </row>
    <row r="54" spans="1:34" ht="17" x14ac:dyDescent="0.2">
      <c r="A54" s="8">
        <v>39</v>
      </c>
      <c r="B54" t="s">
        <v>8</v>
      </c>
      <c r="C54" t="s">
        <v>1051</v>
      </c>
      <c r="D54" t="s">
        <v>988</v>
      </c>
      <c r="E54" s="2" t="s">
        <v>760</v>
      </c>
      <c r="F54" s="6" t="s">
        <v>768</v>
      </c>
      <c r="G54" t="s">
        <v>755</v>
      </c>
      <c r="I54" t="s">
        <v>1036</v>
      </c>
      <c r="J54">
        <v>19304</v>
      </c>
      <c r="K54">
        <v>20082</v>
      </c>
      <c r="L54">
        <v>1</v>
      </c>
      <c r="N54" s="2" t="s">
        <v>23</v>
      </c>
      <c r="Q54" s="18" t="s">
        <v>730</v>
      </c>
      <c r="R54" t="s">
        <v>1046</v>
      </c>
      <c r="S54" s="2"/>
      <c r="T54" t="s">
        <v>775</v>
      </c>
      <c r="U54" s="2"/>
      <c r="V54" t="str">
        <f t="shared" si="4"/>
        <v>kappa_16S</v>
      </c>
      <c r="AA54">
        <v>4</v>
      </c>
      <c r="AB54" t="str">
        <f t="shared" si="2"/>
        <v>gammaShape_16S</v>
      </c>
      <c r="AC54">
        <v>0</v>
      </c>
      <c r="AD54" t="str">
        <f t="shared" si="3"/>
        <v>baseFreqs_params_16S</v>
      </c>
      <c r="AE54" s="2" t="s">
        <v>94</v>
      </c>
      <c r="AG54" t="s">
        <v>735</v>
      </c>
      <c r="AH54" t="str">
        <f t="shared" si="6"/>
        <v>relRate_16S</v>
      </c>
    </row>
    <row r="55" spans="1:34" ht="17" x14ac:dyDescent="0.2">
      <c r="A55" s="8">
        <v>40</v>
      </c>
      <c r="B55" t="s">
        <v>8</v>
      </c>
      <c r="C55" t="s">
        <v>1051</v>
      </c>
      <c r="D55" t="s">
        <v>988</v>
      </c>
      <c r="E55" s="2" t="s">
        <v>760</v>
      </c>
      <c r="F55" s="6" t="s">
        <v>768</v>
      </c>
      <c r="G55" t="s">
        <v>755</v>
      </c>
      <c r="I55" t="s">
        <v>772</v>
      </c>
      <c r="J55">
        <v>20083</v>
      </c>
      <c r="K55">
        <v>20828</v>
      </c>
      <c r="L55">
        <v>3</v>
      </c>
      <c r="N55" s="2" t="s">
        <v>23</v>
      </c>
      <c r="Q55" s="18" t="s">
        <v>730</v>
      </c>
      <c r="R55" t="s">
        <v>1043</v>
      </c>
      <c r="S55" s="2"/>
      <c r="T55" s="8" t="s">
        <v>734</v>
      </c>
      <c r="U55" s="2"/>
      <c r="V55" t="str">
        <f t="shared" si="4"/>
        <v>kappa_COI_pos1</v>
      </c>
      <c r="AA55">
        <v>4</v>
      </c>
      <c r="AB55" t="str">
        <f t="shared" si="2"/>
        <v>gammaShape_COI_pos1</v>
      </c>
      <c r="AC55">
        <v>0</v>
      </c>
      <c r="AD55" t="str">
        <f t="shared" si="3"/>
        <v>baseFreqs_params_COI_pos1</v>
      </c>
      <c r="AE55" s="2" t="s">
        <v>94</v>
      </c>
      <c r="AG55" t="s">
        <v>735</v>
      </c>
      <c r="AH55" t="str">
        <f t="shared" si="6"/>
        <v>relRate_COI_pos1</v>
      </c>
    </row>
    <row r="56" spans="1:34" ht="17" x14ac:dyDescent="0.2">
      <c r="A56" s="8">
        <v>41</v>
      </c>
      <c r="B56" t="s">
        <v>8</v>
      </c>
      <c r="C56" t="s">
        <v>1051</v>
      </c>
      <c r="D56" t="s">
        <v>988</v>
      </c>
      <c r="E56" s="2" t="s">
        <v>760</v>
      </c>
      <c r="F56" s="6" t="s">
        <v>768</v>
      </c>
      <c r="G56" t="s">
        <v>755</v>
      </c>
      <c r="I56" t="s">
        <v>773</v>
      </c>
      <c r="J56">
        <v>20084</v>
      </c>
      <c r="K56">
        <v>20828</v>
      </c>
      <c r="L56">
        <v>3</v>
      </c>
      <c r="N56" s="2" t="s">
        <v>23</v>
      </c>
      <c r="Q56" s="18" t="s">
        <v>730</v>
      </c>
      <c r="R56" t="s">
        <v>1048</v>
      </c>
      <c r="S56" s="2"/>
      <c r="T56" t="s">
        <v>775</v>
      </c>
      <c r="U56" s="2"/>
      <c r="V56" t="str">
        <f t="shared" si="4"/>
        <v>kappa_COI_pos2</v>
      </c>
      <c r="AA56">
        <v>4</v>
      </c>
      <c r="AB56" t="str">
        <f t="shared" si="2"/>
        <v>gammaShape_COI_pos2</v>
      </c>
      <c r="AC56">
        <v>0</v>
      </c>
      <c r="AD56" t="str">
        <f t="shared" si="3"/>
        <v>baseFreqs_params_COI_pos2</v>
      </c>
      <c r="AE56" s="2" t="s">
        <v>94</v>
      </c>
      <c r="AG56" t="s">
        <v>735</v>
      </c>
      <c r="AH56" t="str">
        <f t="shared" si="6"/>
        <v>relRate_COI_pos2</v>
      </c>
    </row>
    <row r="57" spans="1:34" ht="17" x14ac:dyDescent="0.2">
      <c r="A57" s="8">
        <v>42</v>
      </c>
      <c r="B57" t="s">
        <v>8</v>
      </c>
      <c r="C57" t="s">
        <v>1051</v>
      </c>
      <c r="D57" t="s">
        <v>988</v>
      </c>
      <c r="E57" s="2" t="s">
        <v>760</v>
      </c>
      <c r="F57" s="6" t="s">
        <v>768</v>
      </c>
      <c r="G57" t="s">
        <v>755</v>
      </c>
      <c r="I57" t="s">
        <v>774</v>
      </c>
      <c r="J57">
        <v>20085</v>
      </c>
      <c r="K57">
        <v>20828</v>
      </c>
      <c r="L57">
        <v>3</v>
      </c>
      <c r="N57" s="2" t="s">
        <v>23</v>
      </c>
      <c r="Q57" s="18" t="s">
        <v>730</v>
      </c>
      <c r="R57" t="s">
        <v>1049</v>
      </c>
      <c r="S57" s="2"/>
      <c r="T57" t="s">
        <v>775</v>
      </c>
      <c r="U57" s="2"/>
      <c r="V57" t="str">
        <f t="shared" si="4"/>
        <v>kappa_COI_pos3</v>
      </c>
      <c r="AA57">
        <v>4</v>
      </c>
      <c r="AB57" t="str">
        <f t="shared" si="2"/>
        <v>gammaShape_COI_pos3</v>
      </c>
      <c r="AC57">
        <v>0</v>
      </c>
      <c r="AD57" t="str">
        <f t="shared" si="3"/>
        <v>baseFreqs_params_COI_pos3</v>
      </c>
      <c r="AE57" s="2" t="s">
        <v>94</v>
      </c>
      <c r="AG57" t="s">
        <v>735</v>
      </c>
      <c r="AH57" t="str">
        <f t="shared" si="6"/>
        <v>relRate_COI_pos3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7"/>
  <sheetViews>
    <sheetView workbookViewId="0">
      <pane ySplit="15" topLeftCell="A42" activePane="bottomLeft" state="frozen"/>
      <selection pane="bottomLeft" activeCell="A16" sqref="A16:C45"/>
    </sheetView>
  </sheetViews>
  <sheetFormatPr baseColWidth="10" defaultRowHeight="16" x14ac:dyDescent="0.2"/>
  <cols>
    <col min="1" max="1" width="23.33203125" customWidth="1"/>
    <col min="2" max="2" width="20.5" customWidth="1"/>
    <col min="3" max="3" width="26.5" customWidth="1"/>
    <col min="4" max="6" width="38" customWidth="1"/>
  </cols>
  <sheetData>
    <row r="1" spans="1:18" x14ac:dyDescent="0.2">
      <c r="A1" s="26" t="s">
        <v>425</v>
      </c>
      <c r="B1" s="26"/>
      <c r="C1" s="26"/>
      <c r="D1" s="26"/>
    </row>
    <row r="2" spans="1:18" x14ac:dyDescent="0.2">
      <c r="A2" s="8" t="s">
        <v>377</v>
      </c>
      <c r="B2" s="8"/>
      <c r="C2" s="8"/>
      <c r="D2" s="8"/>
    </row>
    <row r="3" spans="1:18" ht="186" customHeight="1" x14ac:dyDescent="0.2">
      <c r="A3" s="67" t="s">
        <v>378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18" ht="17" x14ac:dyDescent="0.2">
      <c r="A4" s="40" t="s">
        <v>7</v>
      </c>
      <c r="B4" s="8"/>
      <c r="C4" s="8"/>
      <c r="D4" s="8"/>
    </row>
    <row r="5" spans="1:18" ht="17" x14ac:dyDescent="0.2">
      <c r="A5" s="40" t="s">
        <v>0</v>
      </c>
      <c r="B5" s="40" t="s">
        <v>379</v>
      </c>
      <c r="C5" s="40" t="s">
        <v>382</v>
      </c>
    </row>
    <row r="6" spans="1:18" ht="85" x14ac:dyDescent="0.2">
      <c r="A6" s="41" t="s">
        <v>380</v>
      </c>
      <c r="B6" s="41" t="s">
        <v>381</v>
      </c>
      <c r="C6" s="41" t="s">
        <v>383</v>
      </c>
    </row>
    <row r="7" spans="1:18" ht="68" x14ac:dyDescent="0.2">
      <c r="A7" s="42"/>
      <c r="B7" s="42" t="s">
        <v>424</v>
      </c>
      <c r="C7" s="42" t="s">
        <v>386</v>
      </c>
    </row>
    <row r="8" spans="1:18" ht="85" x14ac:dyDescent="0.2">
      <c r="A8" s="42"/>
      <c r="B8" s="42" t="s">
        <v>423</v>
      </c>
      <c r="C8" s="8"/>
    </row>
    <row r="9" spans="1:18" x14ac:dyDescent="0.2">
      <c r="A9" s="8"/>
      <c r="B9" s="8"/>
      <c r="C9" s="8"/>
    </row>
    <row r="10" spans="1:18" x14ac:dyDescent="0.2">
      <c r="A10" s="8"/>
      <c r="B10" s="8"/>
      <c r="C10" s="8"/>
    </row>
    <row r="11" spans="1:18" x14ac:dyDescent="0.2">
      <c r="A11" s="8"/>
      <c r="B11" s="8"/>
      <c r="C11" s="8"/>
    </row>
    <row r="12" spans="1:18" x14ac:dyDescent="0.2">
      <c r="A12" s="43" t="s">
        <v>173</v>
      </c>
      <c r="B12" s="43"/>
      <c r="C12" s="33"/>
    </row>
    <row r="13" spans="1:18" x14ac:dyDescent="0.2">
      <c r="A13" s="8"/>
      <c r="B13" s="8"/>
      <c r="C13" s="8"/>
    </row>
    <row r="14" spans="1:18" ht="18" thickBot="1" x14ac:dyDescent="0.25">
      <c r="A14" s="44" t="s">
        <v>15</v>
      </c>
      <c r="B14" s="8"/>
      <c r="C14" s="8"/>
    </row>
    <row r="15" spans="1:18" ht="18" thickBot="1" x14ac:dyDescent="0.25">
      <c r="A15" s="27" t="s">
        <v>0</v>
      </c>
      <c r="B15" s="27" t="s">
        <v>379</v>
      </c>
      <c r="C15" s="27" t="s">
        <v>382</v>
      </c>
    </row>
    <row r="46" spans="1:1" x14ac:dyDescent="0.2">
      <c r="A46" s="8"/>
    </row>
    <row r="47" spans="1:1" x14ac:dyDescent="0.2">
      <c r="A47" s="8"/>
    </row>
  </sheetData>
  <mergeCells count="1">
    <mergeCell ref="A3:R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6"/>
  <sheetViews>
    <sheetView topLeftCell="A5" workbookViewId="0">
      <selection activeCell="D16" sqref="D16"/>
    </sheetView>
  </sheetViews>
  <sheetFormatPr baseColWidth="10" defaultRowHeight="16" x14ac:dyDescent="0.2"/>
  <cols>
    <col min="2" max="3" width="11.83203125" customWidth="1"/>
    <col min="4" max="4" width="15.33203125" customWidth="1"/>
    <col min="5" max="5" width="13.1640625" customWidth="1"/>
    <col min="6" max="16" width="12.83203125" customWidth="1"/>
    <col min="17" max="22" width="12.1640625" customWidth="1"/>
    <col min="23" max="27" width="12.83203125" customWidth="1"/>
    <col min="28" max="28" width="18.5" customWidth="1"/>
    <col min="29" max="31" width="11.5" customWidth="1"/>
    <col min="32" max="32" width="13.5" customWidth="1"/>
    <col min="33" max="36" width="11.5" customWidth="1"/>
    <col min="37" max="39" width="10" customWidth="1"/>
    <col min="40" max="40" width="14.33203125" customWidth="1"/>
    <col min="41" max="41" width="13.1640625" customWidth="1"/>
  </cols>
  <sheetData>
    <row r="1" spans="1:41" x14ac:dyDescent="0.2">
      <c r="A1" s="1" t="s">
        <v>101</v>
      </c>
      <c r="E1" s="1"/>
      <c r="AF1" t="s">
        <v>412</v>
      </c>
    </row>
    <row r="2" spans="1:41" x14ac:dyDescent="0.2">
      <c r="A2" t="s">
        <v>102</v>
      </c>
    </row>
    <row r="4" spans="1:41" ht="17" x14ac:dyDescent="0.2">
      <c r="A4" s="11" t="s">
        <v>7</v>
      </c>
      <c r="F4" s="1" t="s">
        <v>121</v>
      </c>
      <c r="Q4" s="1" t="s">
        <v>120</v>
      </c>
      <c r="AB4" s="1" t="s">
        <v>119</v>
      </c>
    </row>
    <row r="5" spans="1:41" s="11" customFormat="1" ht="306" x14ac:dyDescent="0.2">
      <c r="A5" s="11" t="s">
        <v>138</v>
      </c>
      <c r="B5" s="11" t="s">
        <v>139</v>
      </c>
      <c r="C5" s="11" t="s">
        <v>371</v>
      </c>
      <c r="D5" s="11" t="s">
        <v>208</v>
      </c>
      <c r="E5" s="11" t="s">
        <v>127</v>
      </c>
      <c r="F5" s="11" t="s">
        <v>106</v>
      </c>
      <c r="G5" s="11" t="s">
        <v>108</v>
      </c>
      <c r="H5" s="11" t="s">
        <v>394</v>
      </c>
      <c r="I5" s="11" t="s">
        <v>395</v>
      </c>
      <c r="J5" s="11" t="s">
        <v>228</v>
      </c>
      <c r="K5" s="11" t="s">
        <v>110</v>
      </c>
      <c r="L5" s="11" t="s">
        <v>273</v>
      </c>
      <c r="M5" s="15" t="s">
        <v>53</v>
      </c>
      <c r="N5" s="15" t="s">
        <v>52</v>
      </c>
      <c r="Q5" s="11" t="s">
        <v>115</v>
      </c>
      <c r="R5" s="11" t="s">
        <v>117</v>
      </c>
      <c r="S5" s="11" t="s">
        <v>398</v>
      </c>
      <c r="T5" s="11" t="s">
        <v>399</v>
      </c>
      <c r="U5" s="11" t="s">
        <v>229</v>
      </c>
      <c r="V5" s="11" t="s">
        <v>118</v>
      </c>
      <c r="W5" s="11" t="s">
        <v>274</v>
      </c>
      <c r="X5" s="15" t="s">
        <v>53</v>
      </c>
      <c r="Y5" s="15" t="s">
        <v>52</v>
      </c>
      <c r="AB5" s="11" t="s">
        <v>129</v>
      </c>
      <c r="AC5" s="11" t="s">
        <v>113</v>
      </c>
      <c r="AD5" s="11" t="s">
        <v>402</v>
      </c>
      <c r="AE5" s="11" t="s">
        <v>403</v>
      </c>
      <c r="AF5" s="11" t="s">
        <v>231</v>
      </c>
      <c r="AG5" s="11" t="s">
        <v>114</v>
      </c>
      <c r="AH5" s="11" t="s">
        <v>280</v>
      </c>
      <c r="AI5" s="15" t="s">
        <v>53</v>
      </c>
      <c r="AJ5" s="15" t="s">
        <v>52</v>
      </c>
      <c r="AM5" s="11" t="s">
        <v>141</v>
      </c>
      <c r="AN5" s="11" t="s">
        <v>143</v>
      </c>
      <c r="AO5" s="11" t="s">
        <v>147</v>
      </c>
    </row>
    <row r="6" spans="1:41" s="10" customFormat="1" ht="141" customHeight="1" x14ac:dyDescent="0.2">
      <c r="A6" s="10" t="s">
        <v>134</v>
      </c>
      <c r="B6" s="10" t="s">
        <v>123</v>
      </c>
      <c r="C6" s="10" t="s">
        <v>387</v>
      </c>
      <c r="D6" s="10" t="s">
        <v>211</v>
      </c>
      <c r="E6" s="10" t="s">
        <v>128</v>
      </c>
      <c r="F6" s="10" t="s">
        <v>107</v>
      </c>
      <c r="G6" s="10" t="s">
        <v>111</v>
      </c>
      <c r="J6" s="10" t="s">
        <v>230</v>
      </c>
      <c r="K6" s="10" t="s">
        <v>130</v>
      </c>
      <c r="L6" s="7" t="s">
        <v>486</v>
      </c>
      <c r="Q6" s="10" t="s">
        <v>107</v>
      </c>
      <c r="R6" s="10" t="s">
        <v>111</v>
      </c>
      <c r="U6" s="10" t="s">
        <v>230</v>
      </c>
      <c r="V6" s="10" t="s">
        <v>116</v>
      </c>
      <c r="W6" s="7" t="s">
        <v>486</v>
      </c>
      <c r="AB6" s="10" t="s">
        <v>107</v>
      </c>
      <c r="AC6" s="10" t="s">
        <v>111</v>
      </c>
      <c r="AF6" s="10" t="s">
        <v>230</v>
      </c>
      <c r="AG6" s="10" t="s">
        <v>130</v>
      </c>
      <c r="AH6" s="7" t="s">
        <v>486</v>
      </c>
      <c r="AM6" s="10" t="s">
        <v>145</v>
      </c>
      <c r="AN6" s="10" t="s">
        <v>144</v>
      </c>
      <c r="AO6" s="10" t="s">
        <v>148</v>
      </c>
    </row>
    <row r="7" spans="1:41" s="7" customFormat="1" ht="71" customHeight="1" x14ac:dyDescent="0.2">
      <c r="A7" s="15" t="s">
        <v>422</v>
      </c>
      <c r="B7" t="s">
        <v>125</v>
      </c>
      <c r="D7" s="7" t="s">
        <v>212</v>
      </c>
      <c r="F7" s="10" t="s">
        <v>131</v>
      </c>
      <c r="L7" t="s">
        <v>46</v>
      </c>
      <c r="Q7" s="10" t="s">
        <v>131</v>
      </c>
      <c r="W7" t="s">
        <v>46</v>
      </c>
      <c r="AB7" s="10" t="s">
        <v>131</v>
      </c>
      <c r="AH7" t="s">
        <v>46</v>
      </c>
      <c r="AO7" s="7" t="s">
        <v>149</v>
      </c>
    </row>
    <row r="8" spans="1:41" s="7" customFormat="1" x14ac:dyDescent="0.2">
      <c r="B8" t="s">
        <v>126</v>
      </c>
      <c r="C8"/>
      <c r="D8" t="s">
        <v>209</v>
      </c>
      <c r="E8"/>
      <c r="F8"/>
      <c r="G8"/>
      <c r="H8"/>
      <c r="I8"/>
      <c r="J8"/>
      <c r="K8" t="s">
        <v>46</v>
      </c>
      <c r="L8" t="s">
        <v>47</v>
      </c>
      <c r="M8" t="s">
        <v>221</v>
      </c>
      <c r="N8"/>
      <c r="O8"/>
      <c r="P8" t="s">
        <v>227</v>
      </c>
      <c r="Q8"/>
      <c r="R8"/>
      <c r="S8"/>
      <c r="T8"/>
      <c r="U8"/>
      <c r="V8" t="s">
        <v>46</v>
      </c>
      <c r="W8" t="s">
        <v>47</v>
      </c>
      <c r="X8" t="s">
        <v>221</v>
      </c>
      <c r="Y8"/>
      <c r="Z8"/>
      <c r="AA8" t="s">
        <v>227</v>
      </c>
      <c r="AB8"/>
      <c r="AC8"/>
      <c r="AD8"/>
      <c r="AE8"/>
      <c r="AF8"/>
      <c r="AG8" t="s">
        <v>46</v>
      </c>
      <c r="AH8" t="s">
        <v>47</v>
      </c>
      <c r="AI8" t="s">
        <v>221</v>
      </c>
      <c r="AJ8"/>
      <c r="AK8"/>
      <c r="AL8" t="s">
        <v>227</v>
      </c>
      <c r="AM8"/>
      <c r="AN8"/>
      <c r="AO8" t="s">
        <v>46</v>
      </c>
    </row>
    <row r="9" spans="1:41" ht="34" x14ac:dyDescent="0.2">
      <c r="B9" s="7" t="s">
        <v>420</v>
      </c>
      <c r="D9" t="s">
        <v>210</v>
      </c>
      <c r="K9" t="s">
        <v>288</v>
      </c>
      <c r="L9" t="s">
        <v>48</v>
      </c>
      <c r="M9" t="s">
        <v>222</v>
      </c>
      <c r="P9" t="s">
        <v>9</v>
      </c>
      <c r="V9" t="s">
        <v>288</v>
      </c>
      <c r="W9" t="s">
        <v>48</v>
      </c>
      <c r="X9" t="s">
        <v>222</v>
      </c>
      <c r="AA9" t="s">
        <v>9</v>
      </c>
      <c r="AG9" t="s">
        <v>288</v>
      </c>
      <c r="AH9" t="s">
        <v>48</v>
      </c>
      <c r="AI9" t="s">
        <v>222</v>
      </c>
      <c r="AL9" t="s">
        <v>9</v>
      </c>
    </row>
    <row r="10" spans="1:41" x14ac:dyDescent="0.2">
      <c r="B10" t="s">
        <v>124</v>
      </c>
      <c r="D10" t="s">
        <v>480</v>
      </c>
      <c r="K10" t="s">
        <v>287</v>
      </c>
      <c r="L10" t="s">
        <v>71</v>
      </c>
      <c r="V10" t="s">
        <v>287</v>
      </c>
      <c r="W10" t="s">
        <v>71</v>
      </c>
      <c r="AG10" t="s">
        <v>287</v>
      </c>
      <c r="AH10" t="s">
        <v>71</v>
      </c>
    </row>
    <row r="11" spans="1:41" x14ac:dyDescent="0.2">
      <c r="B11" t="s">
        <v>421</v>
      </c>
      <c r="D11" t="s">
        <v>479</v>
      </c>
      <c r="K11" t="s">
        <v>290</v>
      </c>
      <c r="L11" t="s">
        <v>225</v>
      </c>
      <c r="M11" t="s">
        <v>223</v>
      </c>
      <c r="V11" t="s">
        <v>290</v>
      </c>
      <c r="W11" t="s">
        <v>225</v>
      </c>
      <c r="X11" t="s">
        <v>223</v>
      </c>
      <c r="AG11" t="s">
        <v>290</v>
      </c>
      <c r="AH11" t="s">
        <v>225</v>
      </c>
      <c r="AI11" t="s">
        <v>223</v>
      </c>
    </row>
    <row r="12" spans="1:41" ht="48" customHeight="1" x14ac:dyDescent="0.2">
      <c r="A12" s="19" t="s">
        <v>173</v>
      </c>
      <c r="D12" s="33" t="s">
        <v>360</v>
      </c>
      <c r="L12" t="s">
        <v>428</v>
      </c>
      <c r="M12" t="s">
        <v>224</v>
      </c>
      <c r="W12" t="s">
        <v>428</v>
      </c>
      <c r="X12" t="s">
        <v>224</v>
      </c>
      <c r="AB12" s="7" t="s">
        <v>286</v>
      </c>
      <c r="AG12" t="s">
        <v>348</v>
      </c>
      <c r="AH12" t="s">
        <v>428</v>
      </c>
      <c r="AI12" t="s">
        <v>224</v>
      </c>
      <c r="AO12" t="s">
        <v>177</v>
      </c>
    </row>
    <row r="13" spans="1:41" x14ac:dyDescent="0.2">
      <c r="B13" t="s">
        <v>333</v>
      </c>
      <c r="M13" t="s">
        <v>226</v>
      </c>
      <c r="X13" t="s">
        <v>226</v>
      </c>
      <c r="AG13" t="s">
        <v>349</v>
      </c>
      <c r="AI13" t="s">
        <v>226</v>
      </c>
    </row>
    <row r="14" spans="1:41" ht="18" thickBot="1" x14ac:dyDescent="0.25">
      <c r="A14" s="4" t="s">
        <v>15</v>
      </c>
      <c r="B14" t="s">
        <v>334</v>
      </c>
      <c r="E14" s="4"/>
    </row>
    <row r="15" spans="1:41" s="14" customFormat="1" ht="66" customHeight="1" thickBot="1" x14ac:dyDescent="0.25">
      <c r="A15" s="14" t="s">
        <v>133</v>
      </c>
      <c r="B15" s="14" t="s">
        <v>122</v>
      </c>
      <c r="C15" s="14" t="s">
        <v>371</v>
      </c>
      <c r="D15" s="14" t="s">
        <v>208</v>
      </c>
      <c r="E15" s="14" t="s">
        <v>127</v>
      </c>
      <c r="F15" s="14" t="s">
        <v>103</v>
      </c>
      <c r="G15" s="14" t="s">
        <v>135</v>
      </c>
      <c r="H15" s="14" t="s">
        <v>396</v>
      </c>
      <c r="I15" s="14" t="s">
        <v>397</v>
      </c>
      <c r="J15" s="14" t="s">
        <v>289</v>
      </c>
      <c r="K15" s="14" t="s">
        <v>109</v>
      </c>
      <c r="L15" s="27" t="s">
        <v>268</v>
      </c>
      <c r="M15" s="27" t="s">
        <v>269</v>
      </c>
      <c r="N15" s="27" t="s">
        <v>270</v>
      </c>
      <c r="O15" s="27" t="s">
        <v>271</v>
      </c>
      <c r="P15" s="14" t="s">
        <v>272</v>
      </c>
      <c r="Q15" s="14" t="s">
        <v>104</v>
      </c>
      <c r="R15" s="14" t="s">
        <v>136</v>
      </c>
      <c r="S15" s="14" t="s">
        <v>400</v>
      </c>
      <c r="T15" s="14" t="s">
        <v>401</v>
      </c>
      <c r="U15" s="14" t="s">
        <v>291</v>
      </c>
      <c r="V15" s="14" t="s">
        <v>132</v>
      </c>
      <c r="W15" s="27" t="s">
        <v>275</v>
      </c>
      <c r="X15" s="27" t="s">
        <v>276</v>
      </c>
      <c r="Y15" s="27" t="s">
        <v>277</v>
      </c>
      <c r="Z15" s="27" t="s">
        <v>278</v>
      </c>
      <c r="AA15" s="14" t="s">
        <v>279</v>
      </c>
      <c r="AB15" s="14" t="s">
        <v>105</v>
      </c>
      <c r="AC15" s="14" t="s">
        <v>137</v>
      </c>
      <c r="AD15" s="14" t="s">
        <v>404</v>
      </c>
      <c r="AE15" s="14" t="s">
        <v>405</v>
      </c>
      <c r="AF15" s="14" t="s">
        <v>292</v>
      </c>
      <c r="AG15" s="14" t="s">
        <v>112</v>
      </c>
      <c r="AH15" s="27" t="s">
        <v>281</v>
      </c>
      <c r="AI15" s="27" t="s">
        <v>282</v>
      </c>
      <c r="AJ15" s="27" t="s">
        <v>283</v>
      </c>
      <c r="AK15" s="27" t="s">
        <v>284</v>
      </c>
      <c r="AL15" s="14" t="s">
        <v>285</v>
      </c>
      <c r="AM15" s="14" t="s">
        <v>140</v>
      </c>
      <c r="AN15" s="14" t="s">
        <v>142</v>
      </c>
      <c r="AO15" s="14" t="s">
        <v>146</v>
      </c>
    </row>
    <row r="16" spans="1:41" ht="34" x14ac:dyDescent="0.2">
      <c r="B16" s="7" t="s">
        <v>420</v>
      </c>
      <c r="C16" t="s">
        <v>730</v>
      </c>
      <c r="D16" t="s">
        <v>210</v>
      </c>
      <c r="E16">
        <v>450</v>
      </c>
      <c r="F16">
        <v>0</v>
      </c>
      <c r="G16">
        <v>0.2</v>
      </c>
      <c r="H16">
        <v>1.0000000000000001E-5</v>
      </c>
      <c r="I16">
        <v>10</v>
      </c>
      <c r="K16" t="s">
        <v>99</v>
      </c>
      <c r="L16" t="s">
        <v>47</v>
      </c>
      <c r="M16">
        <v>1.0000000000000001E-5</v>
      </c>
      <c r="N16">
        <v>10</v>
      </c>
      <c r="O16">
        <v>0</v>
      </c>
      <c r="P16" t="s">
        <v>8</v>
      </c>
      <c r="Q16" s="8">
        <v>0</v>
      </c>
      <c r="R16" s="8">
        <v>0.02</v>
      </c>
      <c r="S16">
        <v>1.0000000000000001E-5</v>
      </c>
      <c r="T16">
        <v>10</v>
      </c>
      <c r="V16" t="s">
        <v>99</v>
      </c>
      <c r="W16" t="s">
        <v>47</v>
      </c>
      <c r="X16">
        <v>1.0000000000000001E-5</v>
      </c>
      <c r="Y16">
        <v>10</v>
      </c>
      <c r="Z16">
        <v>0</v>
      </c>
      <c r="AA16" t="s">
        <v>8</v>
      </c>
      <c r="AB16">
        <v>0</v>
      </c>
      <c r="AC16">
        <v>0.1</v>
      </c>
      <c r="AD16">
        <v>1.0000000000000001E-5</v>
      </c>
      <c r="AE16">
        <v>10</v>
      </c>
      <c r="AG16" t="s">
        <v>99</v>
      </c>
      <c r="AH16" t="s">
        <v>47</v>
      </c>
      <c r="AI16">
        <v>1.0000000000000001E-5</v>
      </c>
      <c r="AJ16">
        <v>10</v>
      </c>
      <c r="AK16">
        <v>0</v>
      </c>
      <c r="AL16" t="s">
        <v>8</v>
      </c>
      <c r="AM16">
        <v>0</v>
      </c>
      <c r="AN16">
        <v>1</v>
      </c>
      <c r="AO16" t="s">
        <v>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>
      <pane ySplit="15" topLeftCell="A16" activePane="bottomLeft" state="frozen"/>
      <selection pane="bottomLeft" activeCell="J16" sqref="J16"/>
    </sheetView>
  </sheetViews>
  <sheetFormatPr baseColWidth="10" defaultRowHeight="16" x14ac:dyDescent="0.2"/>
  <cols>
    <col min="2" max="2" width="15.33203125" customWidth="1"/>
    <col min="3" max="3" width="13" customWidth="1"/>
    <col min="9" max="9" width="15.1640625" customWidth="1"/>
    <col min="13" max="13" width="33.1640625" customWidth="1"/>
    <col min="14" max="14" width="76.83203125" customWidth="1"/>
    <col min="15" max="15" width="10.83203125" customWidth="1"/>
  </cols>
  <sheetData>
    <row r="1" spans="1:14" x14ac:dyDescent="0.2">
      <c r="A1" s="1" t="s">
        <v>150</v>
      </c>
    </row>
    <row r="2" spans="1:14" x14ac:dyDescent="0.2">
      <c r="A2" t="s">
        <v>151</v>
      </c>
    </row>
    <row r="4" spans="1:14" x14ac:dyDescent="0.2">
      <c r="A4" s="1" t="s">
        <v>7</v>
      </c>
    </row>
    <row r="5" spans="1:14" s="11" customFormat="1" ht="68" x14ac:dyDescent="0.2">
      <c r="B5" s="11" t="s">
        <v>152</v>
      </c>
      <c r="C5" s="11" t="s">
        <v>154</v>
      </c>
      <c r="D5" s="11" t="s">
        <v>301</v>
      </c>
      <c r="E5" s="11" t="s">
        <v>159</v>
      </c>
      <c r="F5" s="11" t="s">
        <v>160</v>
      </c>
      <c r="G5" s="11" t="s">
        <v>161</v>
      </c>
      <c r="H5" s="11" t="s">
        <v>162</v>
      </c>
      <c r="I5" s="11" t="s">
        <v>187</v>
      </c>
      <c r="J5" s="11" t="s">
        <v>167</v>
      </c>
      <c r="K5" s="11" t="s">
        <v>168</v>
      </c>
      <c r="L5" s="11" t="s">
        <v>257</v>
      </c>
      <c r="M5" s="11" t="s">
        <v>164</v>
      </c>
      <c r="N5" s="11" t="s">
        <v>163</v>
      </c>
    </row>
    <row r="6" spans="1:14" s="7" customFormat="1" ht="119" x14ac:dyDescent="0.2">
      <c r="I6" s="10" t="s">
        <v>185</v>
      </c>
      <c r="L6" s="7" t="s">
        <v>258</v>
      </c>
      <c r="M6" s="10" t="s">
        <v>172</v>
      </c>
      <c r="N6" s="10" t="s">
        <v>172</v>
      </c>
    </row>
    <row r="7" spans="1:14" x14ac:dyDescent="0.2">
      <c r="B7" t="s">
        <v>8</v>
      </c>
    </row>
    <row r="8" spans="1:14" x14ac:dyDescent="0.2">
      <c r="B8" t="s">
        <v>9</v>
      </c>
      <c r="L8" t="s">
        <v>259</v>
      </c>
      <c r="M8" t="s">
        <v>171</v>
      </c>
    </row>
    <row r="12" spans="1:14" x14ac:dyDescent="0.2">
      <c r="A12" s="19" t="s">
        <v>173</v>
      </c>
      <c r="M12" t="s">
        <v>189</v>
      </c>
      <c r="N12" t="s">
        <v>188</v>
      </c>
    </row>
    <row r="14" spans="1:14" ht="17" thickBot="1" x14ac:dyDescent="0.25"/>
    <row r="15" spans="1:14" s="14" customFormat="1" ht="35" thickBot="1" x14ac:dyDescent="0.25">
      <c r="A15" s="14" t="s">
        <v>10</v>
      </c>
      <c r="B15" s="14" t="s">
        <v>0</v>
      </c>
      <c r="C15" s="14" t="s">
        <v>153</v>
      </c>
      <c r="D15" s="14" t="s">
        <v>302</v>
      </c>
      <c r="E15" s="14" t="s">
        <v>155</v>
      </c>
      <c r="F15" s="14" t="s">
        <v>156</v>
      </c>
      <c r="G15" s="14" t="s">
        <v>157</v>
      </c>
      <c r="H15" s="14" t="s">
        <v>158</v>
      </c>
      <c r="I15" s="14" t="s">
        <v>186</v>
      </c>
      <c r="J15" s="14" t="s">
        <v>169</v>
      </c>
      <c r="K15" s="14" t="s">
        <v>170</v>
      </c>
      <c r="L15" s="14" t="s">
        <v>260</v>
      </c>
      <c r="M15" s="14" t="s">
        <v>165</v>
      </c>
      <c r="N15" s="14" t="s">
        <v>166</v>
      </c>
    </row>
    <row r="16" spans="1:14" s="17" customFormat="1" ht="17" x14ac:dyDescent="0.2">
      <c r="A16" s="17">
        <v>1</v>
      </c>
      <c r="B16" s="17" t="s">
        <v>8</v>
      </c>
      <c r="C16" s="17">
        <v>1000</v>
      </c>
      <c r="D16" s="17">
        <v>10</v>
      </c>
      <c r="E16" s="17">
        <f>C16/D16</f>
        <v>100</v>
      </c>
      <c r="F16" s="17">
        <f>C16/D16</f>
        <v>100</v>
      </c>
      <c r="G16" s="17">
        <f>C16/D16</f>
        <v>100</v>
      </c>
      <c r="H16" s="17">
        <f>C16/D16</f>
        <v>100</v>
      </c>
      <c r="I16" s="17" t="s">
        <v>736</v>
      </c>
      <c r="J16" s="17" t="s">
        <v>737</v>
      </c>
      <c r="K16" s="17" t="s">
        <v>738</v>
      </c>
      <c r="L16" s="17" t="s">
        <v>739</v>
      </c>
      <c r="M16" s="10" t="s">
        <v>171</v>
      </c>
      <c r="N16" s="10" t="s">
        <v>171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71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P9" sqref="P9"/>
    </sheetView>
  </sheetViews>
  <sheetFormatPr baseColWidth="10" defaultRowHeight="16" x14ac:dyDescent="0.2"/>
  <cols>
    <col min="1" max="1" width="4.6640625" style="16" customWidth="1"/>
    <col min="2" max="2" width="21.33203125" customWidth="1"/>
    <col min="3" max="4" width="7" customWidth="1"/>
    <col min="11" max="11" width="6.1640625" customWidth="1"/>
    <col min="12" max="12" width="20.1640625" customWidth="1"/>
    <col min="13" max="14" width="6.5" customWidth="1"/>
    <col min="22" max="22" width="21.5" customWidth="1"/>
    <col min="31" max="36" width="7.5" style="16" customWidth="1"/>
  </cols>
  <sheetData>
    <row r="1" spans="1:37" x14ac:dyDescent="0.2">
      <c r="A1" s="37" t="s">
        <v>329</v>
      </c>
      <c r="B1" s="37"/>
      <c r="C1" s="37"/>
      <c r="D1" s="37"/>
      <c r="E1" s="37"/>
      <c r="F1" s="8"/>
      <c r="G1" s="8"/>
      <c r="H1" s="8"/>
      <c r="I1" s="8"/>
      <c r="J1" s="8"/>
      <c r="K1" s="8"/>
      <c r="L1" s="8"/>
    </row>
    <row r="2" spans="1:37" x14ac:dyDescent="0.2">
      <c r="A2" s="35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37" x14ac:dyDescent="0.2">
      <c r="A3" s="26" t="s">
        <v>355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37" x14ac:dyDescent="0.2">
      <c r="B4" s="8"/>
      <c r="C4" s="8"/>
      <c r="D4" s="8"/>
      <c r="E4" s="8"/>
      <c r="F4" s="8"/>
      <c r="G4" s="8"/>
      <c r="H4" s="8"/>
      <c r="I4" s="8"/>
      <c r="J4" s="8"/>
      <c r="K4" s="8"/>
      <c r="L4" s="8"/>
      <c r="AI4" s="52" t="s">
        <v>747</v>
      </c>
      <c r="AJ4" s="52" t="s">
        <v>748</v>
      </c>
    </row>
    <row r="5" spans="1:37" x14ac:dyDescent="0.2">
      <c r="A5" s="26" t="s">
        <v>465</v>
      </c>
      <c r="C5" s="26"/>
      <c r="D5" s="26"/>
      <c r="E5" s="26"/>
      <c r="F5" s="26"/>
      <c r="G5" s="8"/>
      <c r="H5" s="8"/>
      <c r="I5" s="8"/>
      <c r="J5" s="8"/>
      <c r="K5" s="26" t="s">
        <v>770</v>
      </c>
      <c r="L5" s="26"/>
      <c r="P5" s="26"/>
      <c r="Q5" s="26"/>
      <c r="R5" s="26"/>
      <c r="S5" s="26"/>
      <c r="T5" s="26"/>
      <c r="U5" s="26"/>
      <c r="V5" s="26" t="s">
        <v>23</v>
      </c>
      <c r="W5" s="26"/>
      <c r="X5" s="26"/>
      <c r="Y5" s="26"/>
      <c r="Z5" s="26"/>
      <c r="AA5" s="26"/>
      <c r="AB5" s="26"/>
      <c r="AC5" s="8"/>
      <c r="AD5" s="8"/>
      <c r="AI5" s="16">
        <f>SUM(AI8:AI244)</f>
        <v>78</v>
      </c>
      <c r="AJ5" s="16">
        <f>SUM(AJ8:AJ244)</f>
        <v>159</v>
      </c>
    </row>
    <row r="6" spans="1:37" x14ac:dyDescent="0.2">
      <c r="A6" s="35"/>
      <c r="C6" s="8"/>
      <c r="D6" s="8"/>
      <c r="E6" s="8"/>
      <c r="F6" s="8"/>
      <c r="G6" s="8"/>
      <c r="H6" s="8"/>
      <c r="I6" s="8"/>
      <c r="J6" s="8"/>
      <c r="K6" s="8"/>
      <c r="L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7" s="1" customFormat="1" x14ac:dyDescent="0.2">
      <c r="B7" s="1" t="s">
        <v>356</v>
      </c>
      <c r="C7" s="26" t="s">
        <v>359</v>
      </c>
      <c r="D7" s="38" t="s">
        <v>785</v>
      </c>
      <c r="E7" s="26" t="s">
        <v>357</v>
      </c>
      <c r="F7" s="26" t="s">
        <v>786</v>
      </c>
      <c r="G7" s="26" t="s">
        <v>787</v>
      </c>
      <c r="H7" s="26" t="s">
        <v>358</v>
      </c>
      <c r="I7" s="26" t="s">
        <v>788</v>
      </c>
      <c r="K7" s="16"/>
      <c r="L7" s="1" t="s">
        <v>356</v>
      </c>
      <c r="M7" s="26" t="s">
        <v>359</v>
      </c>
      <c r="N7" s="38" t="s">
        <v>785</v>
      </c>
      <c r="O7" s="26" t="s">
        <v>357</v>
      </c>
      <c r="P7" s="26" t="s">
        <v>786</v>
      </c>
      <c r="Q7" s="26" t="s">
        <v>787</v>
      </c>
      <c r="R7" s="26" t="s">
        <v>358</v>
      </c>
      <c r="S7" s="26" t="s">
        <v>788</v>
      </c>
      <c r="T7" s="26"/>
      <c r="V7" s="26" t="s">
        <v>356</v>
      </c>
      <c r="W7" s="26" t="s">
        <v>359</v>
      </c>
      <c r="X7" s="26" t="s">
        <v>785</v>
      </c>
      <c r="Y7" s="26" t="s">
        <v>357</v>
      </c>
      <c r="Z7" s="26" t="s">
        <v>786</v>
      </c>
      <c r="AA7" s="26" t="s">
        <v>787</v>
      </c>
      <c r="AB7" s="26" t="s">
        <v>358</v>
      </c>
      <c r="AC7" s="26" t="s">
        <v>788</v>
      </c>
      <c r="AD7" s="26"/>
      <c r="AE7" s="52" t="s">
        <v>742</v>
      </c>
      <c r="AF7" s="52" t="s">
        <v>743</v>
      </c>
      <c r="AG7" s="52" t="s">
        <v>23</v>
      </c>
      <c r="AH7" s="52" t="s">
        <v>744</v>
      </c>
      <c r="AI7" s="52" t="s">
        <v>745</v>
      </c>
      <c r="AJ7" s="52" t="s">
        <v>746</v>
      </c>
      <c r="AK7" s="1" t="s">
        <v>749</v>
      </c>
    </row>
    <row r="8" spans="1:37" x14ac:dyDescent="0.2">
      <c r="A8" s="8"/>
      <c r="B8" s="30"/>
      <c r="C8" s="8"/>
      <c r="D8" s="8"/>
      <c r="E8" s="8"/>
      <c r="F8" s="8"/>
      <c r="G8" s="8"/>
      <c r="H8" s="8"/>
      <c r="I8" s="8"/>
      <c r="K8" s="16">
        <v>1</v>
      </c>
      <c r="L8" t="s">
        <v>490</v>
      </c>
      <c r="M8">
        <v>0</v>
      </c>
      <c r="N8">
        <v>0</v>
      </c>
      <c r="O8">
        <v>123</v>
      </c>
      <c r="P8">
        <v>0</v>
      </c>
      <c r="Q8">
        <v>0</v>
      </c>
      <c r="R8">
        <v>123</v>
      </c>
      <c r="S8">
        <v>0</v>
      </c>
      <c r="T8" s="8"/>
      <c r="U8" s="35">
        <v>1</v>
      </c>
      <c r="V8" s="8" t="s">
        <v>490</v>
      </c>
      <c r="W8" s="8">
        <v>15818</v>
      </c>
      <c r="X8" s="8">
        <v>1</v>
      </c>
      <c r="Y8" s="8">
        <v>501</v>
      </c>
      <c r="Z8" s="8">
        <v>96.92</v>
      </c>
      <c r="AA8" s="8">
        <v>1936</v>
      </c>
      <c r="AB8" s="8">
        <v>14383</v>
      </c>
      <c r="AC8" s="8">
        <v>11.86</v>
      </c>
      <c r="AD8" s="8"/>
      <c r="AE8" s="16">
        <f>IF(G8=0,0,1)</f>
        <v>0</v>
      </c>
      <c r="AF8" s="16">
        <f>IF(Q8=0,0,1)</f>
        <v>0</v>
      </c>
      <c r="AG8" s="16">
        <f>IF(AA8=0,0,1)</f>
        <v>1</v>
      </c>
      <c r="AH8" s="16">
        <f>SUM(AE8:AG8)</f>
        <v>1</v>
      </c>
      <c r="AI8" s="16">
        <f>IF(AH8=0,1,0)</f>
        <v>0</v>
      </c>
      <c r="AJ8" s="16">
        <f>IF(AH8=0,0,1)</f>
        <v>1</v>
      </c>
      <c r="AK8" t="str">
        <f>IF(AJ8=1,"yes","no")</f>
        <v>yes</v>
      </c>
    </row>
    <row r="9" spans="1:37" x14ac:dyDescent="0.2">
      <c r="A9" s="8"/>
      <c r="B9" s="30"/>
      <c r="C9" s="8"/>
      <c r="D9" s="8"/>
      <c r="E9" s="8"/>
      <c r="F9" s="8"/>
      <c r="G9" s="8"/>
      <c r="H9" s="8"/>
      <c r="I9" s="8"/>
      <c r="K9" s="16">
        <v>2</v>
      </c>
      <c r="L9" t="s">
        <v>491</v>
      </c>
      <c r="M9">
        <v>98</v>
      </c>
      <c r="N9">
        <v>0</v>
      </c>
      <c r="O9">
        <v>25</v>
      </c>
      <c r="P9">
        <v>79.67</v>
      </c>
      <c r="Q9">
        <v>93</v>
      </c>
      <c r="R9">
        <v>30</v>
      </c>
      <c r="S9">
        <v>75.61</v>
      </c>
      <c r="T9" s="8"/>
      <c r="U9" s="35">
        <v>2</v>
      </c>
      <c r="V9" s="8" t="s">
        <v>491</v>
      </c>
      <c r="W9" s="8">
        <v>16160</v>
      </c>
      <c r="X9" s="8">
        <v>12</v>
      </c>
      <c r="Y9" s="8">
        <v>148</v>
      </c>
      <c r="Z9" s="8">
        <v>99.02</v>
      </c>
      <c r="AA9" s="8">
        <v>2011</v>
      </c>
      <c r="AB9" s="8">
        <v>14297</v>
      </c>
      <c r="AC9" s="8">
        <v>12.32</v>
      </c>
      <c r="AD9" s="8"/>
      <c r="AE9" s="16">
        <f t="shared" ref="AE9:AE72" si="0">IF(G9=0,0,1)</f>
        <v>0</v>
      </c>
      <c r="AF9" s="16">
        <f t="shared" ref="AF9:AF72" si="1">IF(Q9=0,0,1)</f>
        <v>1</v>
      </c>
      <c r="AG9" s="16">
        <f t="shared" ref="AG9:AG72" si="2">IF(AA9=0,0,1)</f>
        <v>1</v>
      </c>
      <c r="AH9" s="16">
        <f t="shared" ref="AH9:AH72" si="3">SUM(AE9:AG9)</f>
        <v>2</v>
      </c>
      <c r="AI9" s="16">
        <f t="shared" ref="AI9:AI72" si="4">IF(AH9=0,1,0)</f>
        <v>0</v>
      </c>
      <c r="AJ9" s="16">
        <f t="shared" ref="AJ9:AJ72" si="5">IF(AH9=0,0,1)</f>
        <v>1</v>
      </c>
      <c r="AK9" t="str">
        <f t="shared" ref="AK9:AK72" si="6">IF(AJ9=1,"yes","no")</f>
        <v>yes</v>
      </c>
    </row>
    <row r="10" spans="1:37" x14ac:dyDescent="0.2">
      <c r="A10" s="8"/>
      <c r="B10" s="30"/>
      <c r="C10" s="8"/>
      <c r="D10" s="8"/>
      <c r="E10" s="8"/>
      <c r="F10" s="8"/>
      <c r="G10" s="8"/>
      <c r="H10" s="8"/>
      <c r="I10" s="8"/>
      <c r="K10" s="16">
        <v>3</v>
      </c>
      <c r="L10" t="s">
        <v>492</v>
      </c>
      <c r="M10">
        <v>99</v>
      </c>
      <c r="N10">
        <v>0</v>
      </c>
      <c r="O10">
        <v>24</v>
      </c>
      <c r="P10">
        <v>80.489999999999995</v>
      </c>
      <c r="Q10">
        <v>94</v>
      </c>
      <c r="R10">
        <v>29</v>
      </c>
      <c r="S10">
        <v>76.42</v>
      </c>
      <c r="T10" s="8"/>
      <c r="U10" s="35">
        <v>3</v>
      </c>
      <c r="V10" s="8" t="s">
        <v>492</v>
      </c>
      <c r="W10" s="8">
        <v>0</v>
      </c>
      <c r="X10" s="8">
        <v>0</v>
      </c>
      <c r="Y10" s="8">
        <v>16320</v>
      </c>
      <c r="Z10" s="8">
        <v>0</v>
      </c>
      <c r="AA10" s="8">
        <v>0</v>
      </c>
      <c r="AB10" s="8">
        <v>16320</v>
      </c>
      <c r="AC10" s="8">
        <v>0</v>
      </c>
      <c r="AD10" s="8"/>
      <c r="AE10" s="16">
        <f t="shared" si="0"/>
        <v>0</v>
      </c>
      <c r="AF10" s="16">
        <f t="shared" si="1"/>
        <v>1</v>
      </c>
      <c r="AG10" s="16">
        <f t="shared" si="2"/>
        <v>0</v>
      </c>
      <c r="AH10" s="16">
        <f t="shared" si="3"/>
        <v>1</v>
      </c>
      <c r="AI10" s="16">
        <f t="shared" si="4"/>
        <v>0</v>
      </c>
      <c r="AJ10" s="16">
        <f t="shared" si="5"/>
        <v>1</v>
      </c>
      <c r="AK10" t="str">
        <f t="shared" si="6"/>
        <v>yes</v>
      </c>
    </row>
    <row r="11" spans="1:37" x14ac:dyDescent="0.2">
      <c r="A11" s="8"/>
      <c r="B11" s="30"/>
      <c r="C11" s="8"/>
      <c r="D11" s="8"/>
      <c r="E11" s="8"/>
      <c r="F11" s="8"/>
      <c r="G11" s="8"/>
      <c r="H11" s="8"/>
      <c r="I11" s="8"/>
      <c r="K11" s="16">
        <v>4</v>
      </c>
      <c r="L11" t="s">
        <v>493</v>
      </c>
      <c r="M11">
        <v>103</v>
      </c>
      <c r="N11">
        <v>0</v>
      </c>
      <c r="O11">
        <v>20</v>
      </c>
      <c r="P11">
        <v>83.74</v>
      </c>
      <c r="Q11">
        <v>98</v>
      </c>
      <c r="R11">
        <v>25</v>
      </c>
      <c r="S11">
        <v>79.67</v>
      </c>
      <c r="T11" s="8"/>
      <c r="U11" s="35">
        <v>4</v>
      </c>
      <c r="V11" s="8" t="s">
        <v>493</v>
      </c>
      <c r="W11" s="8">
        <v>0</v>
      </c>
      <c r="X11" s="8">
        <v>0</v>
      </c>
      <c r="Y11" s="8">
        <v>16320</v>
      </c>
      <c r="Z11" s="8">
        <v>0</v>
      </c>
      <c r="AA11" s="8">
        <v>0</v>
      </c>
      <c r="AB11" s="8">
        <v>16320</v>
      </c>
      <c r="AC11" s="8">
        <v>0</v>
      </c>
      <c r="AD11" s="8"/>
      <c r="AE11" s="16">
        <f t="shared" si="0"/>
        <v>0</v>
      </c>
      <c r="AF11" s="16">
        <f t="shared" si="1"/>
        <v>1</v>
      </c>
      <c r="AG11" s="16">
        <f t="shared" si="2"/>
        <v>0</v>
      </c>
      <c r="AH11" s="16">
        <f t="shared" si="3"/>
        <v>1</v>
      </c>
      <c r="AI11" s="16">
        <f t="shared" si="4"/>
        <v>0</v>
      </c>
      <c r="AJ11" s="16">
        <f t="shared" si="5"/>
        <v>1</v>
      </c>
      <c r="AK11" t="str">
        <f t="shared" si="6"/>
        <v>yes</v>
      </c>
    </row>
    <row r="12" spans="1:37" x14ac:dyDescent="0.2">
      <c r="A12" s="8"/>
      <c r="B12" s="30"/>
      <c r="C12" s="8"/>
      <c r="D12" s="8"/>
      <c r="E12" s="8"/>
      <c r="F12" s="8"/>
      <c r="G12" s="8"/>
      <c r="H12" s="8"/>
      <c r="I12" s="8"/>
      <c r="K12" s="16">
        <v>5</v>
      </c>
      <c r="L12" t="s">
        <v>494</v>
      </c>
      <c r="M12">
        <v>95</v>
      </c>
      <c r="N12">
        <v>0</v>
      </c>
      <c r="O12">
        <v>28</v>
      </c>
      <c r="P12">
        <v>77.239999999999995</v>
      </c>
      <c r="Q12">
        <v>90</v>
      </c>
      <c r="R12">
        <v>33</v>
      </c>
      <c r="S12">
        <v>73.17</v>
      </c>
      <c r="T12" s="8"/>
      <c r="U12" s="35">
        <v>5</v>
      </c>
      <c r="V12" s="8" t="s">
        <v>494</v>
      </c>
      <c r="W12" s="8">
        <v>0</v>
      </c>
      <c r="X12" s="8">
        <v>0</v>
      </c>
      <c r="Y12" s="8">
        <v>16320</v>
      </c>
      <c r="Z12" s="8">
        <v>0</v>
      </c>
      <c r="AA12" s="8">
        <v>0</v>
      </c>
      <c r="AB12" s="8">
        <v>16320</v>
      </c>
      <c r="AC12" s="8">
        <v>0</v>
      </c>
      <c r="AD12" s="8"/>
      <c r="AE12" s="16">
        <f t="shared" si="0"/>
        <v>0</v>
      </c>
      <c r="AF12" s="16">
        <f t="shared" si="1"/>
        <v>1</v>
      </c>
      <c r="AG12" s="16">
        <f t="shared" si="2"/>
        <v>0</v>
      </c>
      <c r="AH12" s="16">
        <f t="shared" si="3"/>
        <v>1</v>
      </c>
      <c r="AI12" s="16">
        <f t="shared" si="4"/>
        <v>0</v>
      </c>
      <c r="AJ12" s="16">
        <f t="shared" si="5"/>
        <v>1</v>
      </c>
      <c r="AK12" t="str">
        <f t="shared" si="6"/>
        <v>yes</v>
      </c>
    </row>
    <row r="13" spans="1:37" x14ac:dyDescent="0.2">
      <c r="A13" s="8"/>
      <c r="B13" s="30"/>
      <c r="C13" s="8"/>
      <c r="D13" s="8"/>
      <c r="E13" s="8"/>
      <c r="F13" s="8"/>
      <c r="G13" s="8"/>
      <c r="H13" s="8"/>
      <c r="I13" s="8"/>
      <c r="K13" s="16">
        <v>6</v>
      </c>
      <c r="L13" t="s">
        <v>495</v>
      </c>
      <c r="M13">
        <v>0</v>
      </c>
      <c r="N13">
        <v>0</v>
      </c>
      <c r="O13">
        <v>123</v>
      </c>
      <c r="P13">
        <v>0</v>
      </c>
      <c r="Q13">
        <v>0</v>
      </c>
      <c r="R13">
        <v>123</v>
      </c>
      <c r="S13">
        <v>0</v>
      </c>
      <c r="T13" s="8"/>
      <c r="U13" s="35">
        <v>6</v>
      </c>
      <c r="V13" s="8" t="s">
        <v>495</v>
      </c>
      <c r="W13" s="8">
        <v>0</v>
      </c>
      <c r="X13" s="8">
        <v>0</v>
      </c>
      <c r="Y13" s="8">
        <v>16320</v>
      </c>
      <c r="Z13" s="8">
        <v>0</v>
      </c>
      <c r="AA13" s="8">
        <v>0</v>
      </c>
      <c r="AB13" s="8">
        <v>16320</v>
      </c>
      <c r="AC13" s="8">
        <v>0</v>
      </c>
      <c r="AD13" s="8"/>
      <c r="AE13" s="16">
        <f t="shared" si="0"/>
        <v>0</v>
      </c>
      <c r="AF13" s="16">
        <f t="shared" si="1"/>
        <v>0</v>
      </c>
      <c r="AG13" s="16">
        <f t="shared" si="2"/>
        <v>0</v>
      </c>
      <c r="AH13" s="16">
        <f t="shared" si="3"/>
        <v>0</v>
      </c>
      <c r="AI13" s="16">
        <f t="shared" si="4"/>
        <v>1</v>
      </c>
      <c r="AJ13" s="16">
        <f t="shared" si="5"/>
        <v>0</v>
      </c>
      <c r="AK13" t="str">
        <f t="shared" si="6"/>
        <v>no</v>
      </c>
    </row>
    <row r="14" spans="1:37" x14ac:dyDescent="0.2">
      <c r="A14" s="8"/>
      <c r="B14" s="30"/>
      <c r="C14" s="8"/>
      <c r="D14" s="8"/>
      <c r="E14" s="8"/>
      <c r="F14" s="8"/>
      <c r="G14" s="8"/>
      <c r="H14" s="8"/>
      <c r="I14" s="8"/>
      <c r="K14" s="16">
        <v>7</v>
      </c>
      <c r="L14" t="s">
        <v>496</v>
      </c>
      <c r="M14">
        <v>106</v>
      </c>
      <c r="N14">
        <v>0</v>
      </c>
      <c r="O14">
        <v>17</v>
      </c>
      <c r="P14">
        <v>86.18</v>
      </c>
      <c r="Q14">
        <v>101</v>
      </c>
      <c r="R14">
        <v>22</v>
      </c>
      <c r="S14">
        <v>82.11</v>
      </c>
      <c r="T14" s="8"/>
      <c r="U14" s="35">
        <v>7</v>
      </c>
      <c r="V14" s="8" t="s">
        <v>496</v>
      </c>
      <c r="W14" s="8">
        <v>14859</v>
      </c>
      <c r="X14" s="8">
        <v>11</v>
      </c>
      <c r="Y14" s="8">
        <v>1450</v>
      </c>
      <c r="Z14" s="8">
        <v>91.05</v>
      </c>
      <c r="AA14" s="8">
        <v>1859</v>
      </c>
      <c r="AB14" s="8">
        <v>14450</v>
      </c>
      <c r="AC14" s="8">
        <v>11.39</v>
      </c>
      <c r="AD14" s="8"/>
      <c r="AE14" s="16">
        <f t="shared" si="0"/>
        <v>0</v>
      </c>
      <c r="AF14" s="16">
        <f t="shared" si="1"/>
        <v>1</v>
      </c>
      <c r="AG14" s="16">
        <f t="shared" si="2"/>
        <v>1</v>
      </c>
      <c r="AH14" s="16">
        <f t="shared" si="3"/>
        <v>2</v>
      </c>
      <c r="AI14" s="16">
        <f t="shared" si="4"/>
        <v>0</v>
      </c>
      <c r="AJ14" s="16">
        <f t="shared" si="5"/>
        <v>1</v>
      </c>
      <c r="AK14" t="str">
        <f t="shared" si="6"/>
        <v>yes</v>
      </c>
    </row>
    <row r="15" spans="1:37" x14ac:dyDescent="0.2">
      <c r="A15" s="8"/>
      <c r="B15" s="30"/>
      <c r="C15" s="8"/>
      <c r="D15" s="8"/>
      <c r="E15" s="8"/>
      <c r="F15" s="8"/>
      <c r="G15" s="8"/>
      <c r="H15" s="8"/>
      <c r="I15" s="8"/>
      <c r="K15" s="16">
        <v>8</v>
      </c>
      <c r="L15" t="s">
        <v>497</v>
      </c>
      <c r="M15">
        <v>0</v>
      </c>
      <c r="N15">
        <v>0</v>
      </c>
      <c r="O15">
        <v>123</v>
      </c>
      <c r="P15">
        <v>0</v>
      </c>
      <c r="Q15">
        <v>0</v>
      </c>
      <c r="R15">
        <v>123</v>
      </c>
      <c r="S15">
        <v>0</v>
      </c>
      <c r="T15" s="8"/>
      <c r="U15" s="35">
        <v>8</v>
      </c>
      <c r="V15" s="8" t="s">
        <v>497</v>
      </c>
      <c r="W15" s="8">
        <v>3171</v>
      </c>
      <c r="X15" s="8">
        <v>0</v>
      </c>
      <c r="Y15" s="8">
        <v>13149</v>
      </c>
      <c r="Z15" s="8">
        <v>19.43</v>
      </c>
      <c r="AA15" s="8">
        <v>925</v>
      </c>
      <c r="AB15" s="8">
        <v>15395</v>
      </c>
      <c r="AC15" s="8">
        <v>5.67</v>
      </c>
      <c r="AD15" s="8"/>
      <c r="AE15" s="16">
        <f t="shared" si="0"/>
        <v>0</v>
      </c>
      <c r="AF15" s="16">
        <f t="shared" si="1"/>
        <v>0</v>
      </c>
      <c r="AG15" s="16">
        <f t="shared" si="2"/>
        <v>1</v>
      </c>
      <c r="AH15" s="16">
        <f t="shared" si="3"/>
        <v>1</v>
      </c>
      <c r="AI15" s="16">
        <f t="shared" si="4"/>
        <v>0</v>
      </c>
      <c r="AJ15" s="16">
        <f t="shared" si="5"/>
        <v>1</v>
      </c>
      <c r="AK15" t="str">
        <f t="shared" si="6"/>
        <v>yes</v>
      </c>
    </row>
    <row r="16" spans="1:37" x14ac:dyDescent="0.2">
      <c r="A16" s="8"/>
      <c r="B16" s="30"/>
      <c r="C16" s="8"/>
      <c r="D16" s="8"/>
      <c r="E16" s="8"/>
      <c r="F16" s="8"/>
      <c r="G16" s="8"/>
      <c r="H16" s="8"/>
      <c r="I16" s="8"/>
      <c r="K16" s="16">
        <v>9</v>
      </c>
      <c r="L16" t="s">
        <v>498</v>
      </c>
      <c r="M16">
        <v>0</v>
      </c>
      <c r="N16">
        <v>0</v>
      </c>
      <c r="O16">
        <v>123</v>
      </c>
      <c r="P16">
        <v>0</v>
      </c>
      <c r="Q16">
        <v>0</v>
      </c>
      <c r="R16">
        <v>123</v>
      </c>
      <c r="S16">
        <v>0</v>
      </c>
      <c r="T16" s="8"/>
      <c r="U16" s="35">
        <v>9</v>
      </c>
      <c r="V16" s="8" t="s">
        <v>498</v>
      </c>
      <c r="W16" s="8">
        <v>0</v>
      </c>
      <c r="X16" s="8">
        <v>0</v>
      </c>
      <c r="Y16" s="8">
        <v>16320</v>
      </c>
      <c r="Z16" s="8">
        <v>0</v>
      </c>
      <c r="AA16" s="8">
        <v>0</v>
      </c>
      <c r="AB16" s="8">
        <v>16320</v>
      </c>
      <c r="AC16" s="8">
        <v>0</v>
      </c>
      <c r="AD16" s="8"/>
      <c r="AE16" s="16">
        <f t="shared" si="0"/>
        <v>0</v>
      </c>
      <c r="AF16" s="16">
        <f t="shared" si="1"/>
        <v>0</v>
      </c>
      <c r="AG16" s="16">
        <f t="shared" si="2"/>
        <v>0</v>
      </c>
      <c r="AH16" s="16">
        <f t="shared" si="3"/>
        <v>0</v>
      </c>
      <c r="AI16" s="16">
        <f t="shared" si="4"/>
        <v>1</v>
      </c>
      <c r="AJ16" s="16">
        <f t="shared" si="5"/>
        <v>0</v>
      </c>
      <c r="AK16" t="str">
        <f t="shared" si="6"/>
        <v>no</v>
      </c>
    </row>
    <row r="17" spans="1:37" x14ac:dyDescent="0.2">
      <c r="A17" s="8"/>
      <c r="B17" s="30"/>
      <c r="C17" s="8"/>
      <c r="D17" s="8"/>
      <c r="E17" s="8"/>
      <c r="F17" s="8"/>
      <c r="G17" s="8"/>
      <c r="H17" s="8"/>
      <c r="I17" s="8"/>
      <c r="K17" s="16">
        <v>10</v>
      </c>
      <c r="L17" t="s">
        <v>499</v>
      </c>
      <c r="M17">
        <v>0</v>
      </c>
      <c r="N17">
        <v>0</v>
      </c>
      <c r="O17">
        <v>123</v>
      </c>
      <c r="P17">
        <v>0</v>
      </c>
      <c r="Q17">
        <v>0</v>
      </c>
      <c r="R17">
        <v>123</v>
      </c>
      <c r="S17">
        <v>0</v>
      </c>
      <c r="T17" s="8"/>
      <c r="U17" s="35">
        <v>10</v>
      </c>
      <c r="V17" s="8" t="s">
        <v>499</v>
      </c>
      <c r="W17" s="8">
        <v>0</v>
      </c>
      <c r="X17" s="8">
        <v>0</v>
      </c>
      <c r="Y17" s="8">
        <v>16320</v>
      </c>
      <c r="Z17" s="8">
        <v>0</v>
      </c>
      <c r="AA17" s="8">
        <v>0</v>
      </c>
      <c r="AB17" s="8">
        <v>16320</v>
      </c>
      <c r="AC17" s="8">
        <v>0</v>
      </c>
      <c r="AD17" s="8"/>
      <c r="AE17" s="16">
        <f t="shared" si="0"/>
        <v>0</v>
      </c>
      <c r="AF17" s="16">
        <f t="shared" si="1"/>
        <v>0</v>
      </c>
      <c r="AG17" s="16">
        <f t="shared" si="2"/>
        <v>0</v>
      </c>
      <c r="AH17" s="16">
        <f t="shared" si="3"/>
        <v>0</v>
      </c>
      <c r="AI17" s="16">
        <f t="shared" si="4"/>
        <v>1</v>
      </c>
      <c r="AJ17" s="16">
        <f t="shared" si="5"/>
        <v>0</v>
      </c>
      <c r="AK17" t="str">
        <f t="shared" si="6"/>
        <v>no</v>
      </c>
    </row>
    <row r="18" spans="1:37" x14ac:dyDescent="0.2">
      <c r="A18" s="8"/>
      <c r="B18" s="30"/>
      <c r="C18" s="8"/>
      <c r="D18" s="8"/>
      <c r="E18" s="8"/>
      <c r="F18" s="8"/>
      <c r="G18" s="8"/>
      <c r="H18" s="8"/>
      <c r="I18" s="8"/>
      <c r="K18" s="16">
        <v>11</v>
      </c>
      <c r="L18" t="s">
        <v>500</v>
      </c>
      <c r="M18">
        <v>0</v>
      </c>
      <c r="N18">
        <v>0</v>
      </c>
      <c r="O18">
        <v>123</v>
      </c>
      <c r="P18">
        <v>0</v>
      </c>
      <c r="Q18">
        <v>0</v>
      </c>
      <c r="R18">
        <v>123</v>
      </c>
      <c r="S18">
        <v>0</v>
      </c>
      <c r="T18" s="8"/>
      <c r="U18" s="35">
        <v>11</v>
      </c>
      <c r="V18" s="8" t="s">
        <v>500</v>
      </c>
      <c r="W18" s="8">
        <v>0</v>
      </c>
      <c r="X18" s="8">
        <v>0</v>
      </c>
      <c r="Y18" s="8">
        <v>16320</v>
      </c>
      <c r="Z18" s="8">
        <v>0</v>
      </c>
      <c r="AA18" s="8">
        <v>0</v>
      </c>
      <c r="AB18" s="8">
        <v>16320</v>
      </c>
      <c r="AC18" s="8">
        <v>0</v>
      </c>
      <c r="AD18" s="8"/>
      <c r="AE18" s="16">
        <f t="shared" si="0"/>
        <v>0</v>
      </c>
      <c r="AF18" s="16">
        <f t="shared" si="1"/>
        <v>0</v>
      </c>
      <c r="AG18" s="16">
        <f t="shared" si="2"/>
        <v>0</v>
      </c>
      <c r="AH18" s="16">
        <f t="shared" si="3"/>
        <v>0</v>
      </c>
      <c r="AI18" s="16">
        <f t="shared" si="4"/>
        <v>1</v>
      </c>
      <c r="AJ18" s="16">
        <f t="shared" si="5"/>
        <v>0</v>
      </c>
      <c r="AK18" t="str">
        <f t="shared" si="6"/>
        <v>no</v>
      </c>
    </row>
    <row r="19" spans="1:37" x14ac:dyDescent="0.2">
      <c r="A19" s="8"/>
      <c r="B19" s="30"/>
      <c r="C19" s="8"/>
      <c r="D19" s="8"/>
      <c r="E19" s="8"/>
      <c r="F19" s="8"/>
      <c r="G19" s="8"/>
      <c r="H19" s="8"/>
      <c r="I19" s="8"/>
      <c r="K19" s="16">
        <v>12</v>
      </c>
      <c r="L19" t="s">
        <v>501</v>
      </c>
      <c r="M19">
        <v>100</v>
      </c>
      <c r="N19">
        <v>0</v>
      </c>
      <c r="O19">
        <v>23</v>
      </c>
      <c r="P19">
        <v>81.3</v>
      </c>
      <c r="Q19">
        <v>95</v>
      </c>
      <c r="R19">
        <v>28</v>
      </c>
      <c r="S19">
        <v>77.239999999999995</v>
      </c>
      <c r="T19" s="8"/>
      <c r="U19" s="35">
        <v>12</v>
      </c>
      <c r="V19" s="8" t="s">
        <v>501</v>
      </c>
      <c r="W19" s="8">
        <v>0</v>
      </c>
      <c r="X19" s="8">
        <v>0</v>
      </c>
      <c r="Y19" s="8">
        <v>16320</v>
      </c>
      <c r="Z19" s="8">
        <v>0</v>
      </c>
      <c r="AA19" s="8">
        <v>0</v>
      </c>
      <c r="AB19" s="8">
        <v>16320</v>
      </c>
      <c r="AC19" s="8">
        <v>0</v>
      </c>
      <c r="AD19" s="8"/>
      <c r="AE19" s="16">
        <f t="shared" si="0"/>
        <v>0</v>
      </c>
      <c r="AF19" s="16">
        <f t="shared" si="1"/>
        <v>1</v>
      </c>
      <c r="AG19" s="16">
        <f t="shared" si="2"/>
        <v>0</v>
      </c>
      <c r="AH19" s="16">
        <f t="shared" si="3"/>
        <v>1</v>
      </c>
      <c r="AI19" s="16">
        <f t="shared" si="4"/>
        <v>0</v>
      </c>
      <c r="AJ19" s="16">
        <f t="shared" si="5"/>
        <v>1</v>
      </c>
      <c r="AK19" t="str">
        <f t="shared" si="6"/>
        <v>yes</v>
      </c>
    </row>
    <row r="20" spans="1:37" x14ac:dyDescent="0.2">
      <c r="A20" s="8"/>
      <c r="B20" s="30"/>
      <c r="C20" s="8"/>
      <c r="D20" s="8"/>
      <c r="E20" s="8"/>
      <c r="F20" s="8"/>
      <c r="G20" s="8"/>
      <c r="H20" s="8"/>
      <c r="I20" s="8"/>
      <c r="K20" s="16">
        <v>13</v>
      </c>
      <c r="L20" t="s">
        <v>502</v>
      </c>
      <c r="M20">
        <v>0</v>
      </c>
      <c r="N20">
        <v>0</v>
      </c>
      <c r="O20">
        <v>123</v>
      </c>
      <c r="P20">
        <v>0</v>
      </c>
      <c r="Q20">
        <v>0</v>
      </c>
      <c r="R20">
        <v>123</v>
      </c>
      <c r="S20">
        <v>0</v>
      </c>
      <c r="T20" s="8"/>
      <c r="U20" s="35">
        <v>13</v>
      </c>
      <c r="V20" s="8" t="s">
        <v>502</v>
      </c>
      <c r="W20" s="8">
        <v>0</v>
      </c>
      <c r="X20" s="8">
        <v>0</v>
      </c>
      <c r="Y20" s="8">
        <v>16320</v>
      </c>
      <c r="Z20" s="8">
        <v>0</v>
      </c>
      <c r="AA20" s="8">
        <v>0</v>
      </c>
      <c r="AB20" s="8">
        <v>16320</v>
      </c>
      <c r="AC20" s="8">
        <v>0</v>
      </c>
      <c r="AD20" s="8"/>
      <c r="AE20" s="16">
        <f t="shared" si="0"/>
        <v>0</v>
      </c>
      <c r="AF20" s="16">
        <f t="shared" si="1"/>
        <v>0</v>
      </c>
      <c r="AG20" s="16">
        <f t="shared" si="2"/>
        <v>0</v>
      </c>
      <c r="AH20" s="16">
        <f t="shared" si="3"/>
        <v>0</v>
      </c>
      <c r="AI20" s="16">
        <f t="shared" si="4"/>
        <v>1</v>
      </c>
      <c r="AJ20" s="16">
        <f t="shared" si="5"/>
        <v>0</v>
      </c>
      <c r="AK20" t="str">
        <f t="shared" si="6"/>
        <v>no</v>
      </c>
    </row>
    <row r="21" spans="1:37" x14ac:dyDescent="0.2">
      <c r="A21" s="8"/>
      <c r="B21" s="30"/>
      <c r="C21" s="8"/>
      <c r="D21" s="8"/>
      <c r="E21" s="8"/>
      <c r="F21" s="8"/>
      <c r="G21" s="8"/>
      <c r="H21" s="8"/>
      <c r="I21" s="8"/>
      <c r="K21" s="16">
        <v>14</v>
      </c>
      <c r="L21" t="s">
        <v>503</v>
      </c>
      <c r="M21">
        <v>106</v>
      </c>
      <c r="N21">
        <v>0</v>
      </c>
      <c r="O21">
        <v>17</v>
      </c>
      <c r="P21">
        <v>86.18</v>
      </c>
      <c r="Q21">
        <v>101</v>
      </c>
      <c r="R21">
        <v>22</v>
      </c>
      <c r="S21">
        <v>82.11</v>
      </c>
      <c r="T21" s="8"/>
      <c r="U21" s="35">
        <v>14</v>
      </c>
      <c r="V21" s="8" t="s">
        <v>503</v>
      </c>
      <c r="W21" s="8">
        <v>0</v>
      </c>
      <c r="X21" s="8">
        <v>0</v>
      </c>
      <c r="Y21" s="8">
        <v>16320</v>
      </c>
      <c r="Z21" s="8">
        <v>0</v>
      </c>
      <c r="AA21" s="8">
        <v>0</v>
      </c>
      <c r="AB21" s="8">
        <v>16320</v>
      </c>
      <c r="AC21" s="8">
        <v>0</v>
      </c>
      <c r="AD21" s="8"/>
      <c r="AE21" s="16">
        <f t="shared" si="0"/>
        <v>0</v>
      </c>
      <c r="AF21" s="16">
        <f t="shared" si="1"/>
        <v>1</v>
      </c>
      <c r="AG21" s="16">
        <f t="shared" si="2"/>
        <v>0</v>
      </c>
      <c r="AH21" s="16">
        <f t="shared" si="3"/>
        <v>1</v>
      </c>
      <c r="AI21" s="16">
        <f t="shared" si="4"/>
        <v>0</v>
      </c>
      <c r="AJ21" s="16">
        <f t="shared" si="5"/>
        <v>1</v>
      </c>
      <c r="AK21" t="str">
        <f t="shared" si="6"/>
        <v>yes</v>
      </c>
    </row>
    <row r="22" spans="1:37" x14ac:dyDescent="0.2">
      <c r="A22" s="8"/>
      <c r="B22" s="30"/>
      <c r="C22" s="8"/>
      <c r="D22" s="8"/>
      <c r="E22" s="8"/>
      <c r="F22" s="8"/>
      <c r="G22" s="8"/>
      <c r="H22" s="8"/>
      <c r="I22" s="8"/>
      <c r="K22" s="16">
        <v>15</v>
      </c>
      <c r="L22" t="s">
        <v>504</v>
      </c>
      <c r="M22">
        <v>102</v>
      </c>
      <c r="N22">
        <v>0</v>
      </c>
      <c r="O22">
        <v>21</v>
      </c>
      <c r="P22">
        <v>82.93</v>
      </c>
      <c r="Q22">
        <v>97</v>
      </c>
      <c r="R22">
        <v>26</v>
      </c>
      <c r="S22">
        <v>78.86</v>
      </c>
      <c r="T22" s="8"/>
      <c r="U22" s="35">
        <v>15</v>
      </c>
      <c r="V22" s="8" t="s">
        <v>504</v>
      </c>
      <c r="W22" s="8">
        <v>0</v>
      </c>
      <c r="X22" s="8">
        <v>0</v>
      </c>
      <c r="Y22" s="8">
        <v>16320</v>
      </c>
      <c r="Z22" s="8">
        <v>0</v>
      </c>
      <c r="AA22" s="8">
        <v>0</v>
      </c>
      <c r="AB22" s="8">
        <v>16320</v>
      </c>
      <c r="AC22" s="8">
        <v>0</v>
      </c>
      <c r="AD22" s="8"/>
      <c r="AE22" s="16">
        <f t="shared" si="0"/>
        <v>0</v>
      </c>
      <c r="AF22" s="16">
        <f t="shared" si="1"/>
        <v>1</v>
      </c>
      <c r="AG22" s="16">
        <f t="shared" si="2"/>
        <v>0</v>
      </c>
      <c r="AH22" s="16">
        <f t="shared" si="3"/>
        <v>1</v>
      </c>
      <c r="AI22" s="16">
        <f t="shared" si="4"/>
        <v>0</v>
      </c>
      <c r="AJ22" s="16">
        <f t="shared" si="5"/>
        <v>1</v>
      </c>
      <c r="AK22" t="str">
        <f t="shared" si="6"/>
        <v>yes</v>
      </c>
    </row>
    <row r="23" spans="1:37" x14ac:dyDescent="0.2">
      <c r="A23" s="8"/>
      <c r="B23" s="30"/>
      <c r="C23" s="8"/>
      <c r="D23" s="8"/>
      <c r="E23" s="8"/>
      <c r="F23" s="8"/>
      <c r="G23" s="8"/>
      <c r="H23" s="8"/>
      <c r="I23" s="8"/>
      <c r="K23" s="16">
        <v>16</v>
      </c>
      <c r="L23" t="s">
        <v>505</v>
      </c>
      <c r="M23">
        <v>99</v>
      </c>
      <c r="N23">
        <v>0</v>
      </c>
      <c r="O23">
        <v>24</v>
      </c>
      <c r="P23">
        <v>80.489999999999995</v>
      </c>
      <c r="Q23">
        <v>94</v>
      </c>
      <c r="R23">
        <v>29</v>
      </c>
      <c r="S23">
        <v>76.42</v>
      </c>
      <c r="T23" s="8"/>
      <c r="U23" s="35">
        <v>16</v>
      </c>
      <c r="V23" s="8" t="s">
        <v>505</v>
      </c>
      <c r="W23" s="8">
        <v>0</v>
      </c>
      <c r="X23" s="8">
        <v>0</v>
      </c>
      <c r="Y23" s="8">
        <v>16320</v>
      </c>
      <c r="Z23" s="8">
        <v>0</v>
      </c>
      <c r="AA23" s="8">
        <v>0</v>
      </c>
      <c r="AB23" s="8">
        <v>16320</v>
      </c>
      <c r="AC23" s="8">
        <v>0</v>
      </c>
      <c r="AD23" s="8"/>
      <c r="AE23" s="16">
        <f t="shared" si="0"/>
        <v>0</v>
      </c>
      <c r="AF23" s="16">
        <f t="shared" si="1"/>
        <v>1</v>
      </c>
      <c r="AG23" s="16">
        <f t="shared" si="2"/>
        <v>0</v>
      </c>
      <c r="AH23" s="16">
        <f t="shared" si="3"/>
        <v>1</v>
      </c>
      <c r="AI23" s="16">
        <f t="shared" si="4"/>
        <v>0</v>
      </c>
      <c r="AJ23" s="16">
        <f t="shared" si="5"/>
        <v>1</v>
      </c>
      <c r="AK23" t="str">
        <f t="shared" si="6"/>
        <v>yes</v>
      </c>
    </row>
    <row r="24" spans="1:37" x14ac:dyDescent="0.2">
      <c r="A24" s="8"/>
      <c r="B24" s="30"/>
      <c r="C24" s="8"/>
      <c r="D24" s="8"/>
      <c r="E24" s="8"/>
      <c r="F24" s="8"/>
      <c r="G24" s="8"/>
      <c r="H24" s="8"/>
      <c r="I24" s="8"/>
      <c r="K24" s="16">
        <v>17</v>
      </c>
      <c r="L24" t="s">
        <v>506</v>
      </c>
      <c r="M24">
        <v>0</v>
      </c>
      <c r="N24">
        <v>0</v>
      </c>
      <c r="O24">
        <v>123</v>
      </c>
      <c r="P24">
        <v>0</v>
      </c>
      <c r="Q24">
        <v>0</v>
      </c>
      <c r="R24">
        <v>123</v>
      </c>
      <c r="S24">
        <v>0</v>
      </c>
      <c r="T24" s="8"/>
      <c r="U24" s="35">
        <v>17</v>
      </c>
      <c r="V24" s="8" t="s">
        <v>506</v>
      </c>
      <c r="W24" s="8">
        <v>0</v>
      </c>
      <c r="X24" s="8">
        <v>0</v>
      </c>
      <c r="Y24" s="8">
        <v>16320</v>
      </c>
      <c r="Z24" s="8">
        <v>0</v>
      </c>
      <c r="AA24" s="8">
        <v>0</v>
      </c>
      <c r="AB24" s="8">
        <v>16320</v>
      </c>
      <c r="AC24" s="8">
        <v>0</v>
      </c>
      <c r="AD24" s="8"/>
      <c r="AE24" s="16">
        <f t="shared" si="0"/>
        <v>0</v>
      </c>
      <c r="AF24" s="16">
        <f t="shared" si="1"/>
        <v>0</v>
      </c>
      <c r="AG24" s="16">
        <f t="shared" si="2"/>
        <v>0</v>
      </c>
      <c r="AH24" s="16">
        <f t="shared" si="3"/>
        <v>0</v>
      </c>
      <c r="AI24" s="16">
        <f t="shared" si="4"/>
        <v>1</v>
      </c>
      <c r="AJ24" s="16">
        <f t="shared" si="5"/>
        <v>0</v>
      </c>
      <c r="AK24" t="str">
        <f t="shared" si="6"/>
        <v>no</v>
      </c>
    </row>
    <row r="25" spans="1:37" x14ac:dyDescent="0.2">
      <c r="A25" s="8"/>
      <c r="B25" s="30"/>
      <c r="C25" s="8"/>
      <c r="D25" s="8"/>
      <c r="E25" s="8"/>
      <c r="F25" s="8"/>
      <c r="G25" s="8"/>
      <c r="H25" s="8"/>
      <c r="I25" s="8"/>
      <c r="K25" s="16">
        <v>18</v>
      </c>
      <c r="L25" t="s">
        <v>507</v>
      </c>
      <c r="M25">
        <v>0</v>
      </c>
      <c r="N25">
        <v>0</v>
      </c>
      <c r="O25">
        <v>123</v>
      </c>
      <c r="P25">
        <v>0</v>
      </c>
      <c r="Q25">
        <v>0</v>
      </c>
      <c r="R25">
        <v>123</v>
      </c>
      <c r="S25">
        <v>0</v>
      </c>
      <c r="T25" s="8"/>
      <c r="U25" s="35">
        <v>18</v>
      </c>
      <c r="V25" s="8" t="s">
        <v>507</v>
      </c>
      <c r="W25" s="8">
        <v>0</v>
      </c>
      <c r="X25" s="8">
        <v>0</v>
      </c>
      <c r="Y25" s="8">
        <v>16320</v>
      </c>
      <c r="Z25" s="8">
        <v>0</v>
      </c>
      <c r="AA25" s="8">
        <v>0</v>
      </c>
      <c r="AB25" s="8">
        <v>16320</v>
      </c>
      <c r="AC25" s="8">
        <v>0</v>
      </c>
      <c r="AD25" s="8"/>
      <c r="AE25" s="16">
        <f t="shared" si="0"/>
        <v>0</v>
      </c>
      <c r="AF25" s="16">
        <f t="shared" si="1"/>
        <v>0</v>
      </c>
      <c r="AG25" s="16">
        <f t="shared" si="2"/>
        <v>0</v>
      </c>
      <c r="AH25" s="16">
        <f t="shared" si="3"/>
        <v>0</v>
      </c>
      <c r="AI25" s="16">
        <f t="shared" si="4"/>
        <v>1</v>
      </c>
      <c r="AJ25" s="16">
        <f t="shared" si="5"/>
        <v>0</v>
      </c>
      <c r="AK25" t="str">
        <f t="shared" si="6"/>
        <v>no</v>
      </c>
    </row>
    <row r="26" spans="1:37" x14ac:dyDescent="0.2">
      <c r="A26" s="8"/>
      <c r="B26" s="30"/>
      <c r="C26" s="8"/>
      <c r="D26" s="8"/>
      <c r="E26" s="8"/>
      <c r="F26" s="8"/>
      <c r="G26" s="8"/>
      <c r="H26" s="8"/>
      <c r="I26" s="8"/>
      <c r="K26" s="16">
        <v>19</v>
      </c>
      <c r="L26" t="s">
        <v>508</v>
      </c>
      <c r="M26">
        <v>102</v>
      </c>
      <c r="N26">
        <v>0</v>
      </c>
      <c r="O26">
        <v>21</v>
      </c>
      <c r="P26">
        <v>82.93</v>
      </c>
      <c r="Q26">
        <v>97</v>
      </c>
      <c r="R26">
        <v>26</v>
      </c>
      <c r="S26">
        <v>78.86</v>
      </c>
      <c r="T26" s="8"/>
      <c r="U26" s="35">
        <v>19</v>
      </c>
      <c r="V26" s="8" t="s">
        <v>508</v>
      </c>
      <c r="W26" s="8">
        <v>0</v>
      </c>
      <c r="X26" s="8">
        <v>0</v>
      </c>
      <c r="Y26" s="8">
        <v>16320</v>
      </c>
      <c r="Z26" s="8">
        <v>0</v>
      </c>
      <c r="AA26" s="8">
        <v>0</v>
      </c>
      <c r="AB26" s="8">
        <v>16320</v>
      </c>
      <c r="AC26" s="8">
        <v>0</v>
      </c>
      <c r="AD26" s="8"/>
      <c r="AE26" s="16">
        <f t="shared" si="0"/>
        <v>0</v>
      </c>
      <c r="AF26" s="16">
        <f t="shared" si="1"/>
        <v>1</v>
      </c>
      <c r="AG26" s="16">
        <f t="shared" si="2"/>
        <v>0</v>
      </c>
      <c r="AH26" s="16">
        <f t="shared" si="3"/>
        <v>1</v>
      </c>
      <c r="AI26" s="16">
        <f t="shared" si="4"/>
        <v>0</v>
      </c>
      <c r="AJ26" s="16">
        <f t="shared" si="5"/>
        <v>1</v>
      </c>
      <c r="AK26" t="str">
        <f t="shared" si="6"/>
        <v>yes</v>
      </c>
    </row>
    <row r="27" spans="1:37" x14ac:dyDescent="0.2">
      <c r="A27" s="8"/>
      <c r="B27" s="30"/>
      <c r="C27" s="8"/>
      <c r="D27" s="8"/>
      <c r="E27" s="8"/>
      <c r="F27" s="8"/>
      <c r="G27" s="8"/>
      <c r="H27" s="8"/>
      <c r="I27" s="8"/>
      <c r="K27" s="16">
        <v>20</v>
      </c>
      <c r="L27" t="s">
        <v>509</v>
      </c>
      <c r="M27">
        <v>0</v>
      </c>
      <c r="N27">
        <v>0</v>
      </c>
      <c r="O27">
        <v>123</v>
      </c>
      <c r="P27">
        <v>0</v>
      </c>
      <c r="Q27">
        <v>0</v>
      </c>
      <c r="R27">
        <v>123</v>
      </c>
      <c r="S27">
        <v>0</v>
      </c>
      <c r="T27" s="8"/>
      <c r="U27" s="35">
        <v>20</v>
      </c>
      <c r="V27" s="8" t="s">
        <v>509</v>
      </c>
      <c r="W27" s="8">
        <v>727</v>
      </c>
      <c r="X27" s="8">
        <v>0</v>
      </c>
      <c r="Y27" s="8">
        <v>15593</v>
      </c>
      <c r="Z27" s="8">
        <v>4.45</v>
      </c>
      <c r="AA27" s="8">
        <v>325</v>
      </c>
      <c r="AB27" s="8">
        <v>15995</v>
      </c>
      <c r="AC27" s="8">
        <v>1.99</v>
      </c>
      <c r="AD27" s="8"/>
      <c r="AE27" s="16">
        <f t="shared" si="0"/>
        <v>0</v>
      </c>
      <c r="AF27" s="16">
        <f t="shared" si="1"/>
        <v>0</v>
      </c>
      <c r="AG27" s="16">
        <f t="shared" si="2"/>
        <v>1</v>
      </c>
      <c r="AH27" s="16">
        <f t="shared" si="3"/>
        <v>1</v>
      </c>
      <c r="AI27" s="16">
        <f t="shared" si="4"/>
        <v>0</v>
      </c>
      <c r="AJ27" s="16">
        <f t="shared" si="5"/>
        <v>1</v>
      </c>
      <c r="AK27" t="str">
        <f t="shared" si="6"/>
        <v>yes</v>
      </c>
    </row>
    <row r="28" spans="1:37" x14ac:dyDescent="0.2">
      <c r="A28" s="8"/>
      <c r="B28" s="30"/>
      <c r="C28" s="8"/>
      <c r="D28" s="8"/>
      <c r="E28" s="8"/>
      <c r="F28" s="8"/>
      <c r="G28" s="8"/>
      <c r="H28" s="8"/>
      <c r="I28" s="8"/>
      <c r="K28" s="16">
        <v>21</v>
      </c>
      <c r="L28" t="s">
        <v>510</v>
      </c>
      <c r="M28">
        <v>0</v>
      </c>
      <c r="N28">
        <v>0</v>
      </c>
      <c r="O28">
        <v>123</v>
      </c>
      <c r="P28">
        <v>0</v>
      </c>
      <c r="Q28">
        <v>0</v>
      </c>
      <c r="R28">
        <v>123</v>
      </c>
      <c r="S28">
        <v>0</v>
      </c>
      <c r="T28" s="8"/>
      <c r="U28" s="35">
        <v>21</v>
      </c>
      <c r="V28" s="8" t="s">
        <v>510</v>
      </c>
      <c r="W28" s="8">
        <v>725</v>
      </c>
      <c r="X28" s="8">
        <v>0</v>
      </c>
      <c r="Y28" s="8">
        <v>15595</v>
      </c>
      <c r="Z28" s="8">
        <v>4.4400000000000004</v>
      </c>
      <c r="AA28" s="8">
        <v>324</v>
      </c>
      <c r="AB28" s="8">
        <v>15996</v>
      </c>
      <c r="AC28" s="8">
        <v>1.99</v>
      </c>
      <c r="AD28" s="8"/>
      <c r="AE28" s="16">
        <f t="shared" si="0"/>
        <v>0</v>
      </c>
      <c r="AF28" s="16">
        <f t="shared" si="1"/>
        <v>0</v>
      </c>
      <c r="AG28" s="16">
        <f t="shared" si="2"/>
        <v>1</v>
      </c>
      <c r="AH28" s="16">
        <f t="shared" si="3"/>
        <v>1</v>
      </c>
      <c r="AI28" s="16">
        <f t="shared" si="4"/>
        <v>0</v>
      </c>
      <c r="AJ28" s="16">
        <f t="shared" si="5"/>
        <v>1</v>
      </c>
      <c r="AK28" t="str">
        <f t="shared" si="6"/>
        <v>yes</v>
      </c>
    </row>
    <row r="29" spans="1:37" x14ac:dyDescent="0.2">
      <c r="A29" s="8"/>
      <c r="B29" s="30"/>
      <c r="C29" s="8"/>
      <c r="D29" s="8"/>
      <c r="E29" s="8"/>
      <c r="F29" s="8"/>
      <c r="G29" s="8"/>
      <c r="H29" s="8"/>
      <c r="I29" s="8"/>
      <c r="K29" s="16">
        <v>22</v>
      </c>
      <c r="L29" t="s">
        <v>511</v>
      </c>
      <c r="M29">
        <v>105</v>
      </c>
      <c r="N29">
        <v>0</v>
      </c>
      <c r="O29">
        <v>18</v>
      </c>
      <c r="P29">
        <v>85.37</v>
      </c>
      <c r="Q29">
        <v>100</v>
      </c>
      <c r="R29">
        <v>23</v>
      </c>
      <c r="S29">
        <v>81.3</v>
      </c>
      <c r="T29" s="8"/>
      <c r="U29" s="35">
        <v>22</v>
      </c>
      <c r="V29" s="8" t="s">
        <v>511</v>
      </c>
      <c r="W29" s="8">
        <v>16174</v>
      </c>
      <c r="X29" s="8">
        <v>13</v>
      </c>
      <c r="Y29" s="8">
        <v>133</v>
      </c>
      <c r="Z29" s="8">
        <v>99.11</v>
      </c>
      <c r="AA29" s="8">
        <v>2008</v>
      </c>
      <c r="AB29" s="8">
        <v>14299</v>
      </c>
      <c r="AC29" s="8">
        <v>12.3</v>
      </c>
      <c r="AD29" s="8"/>
      <c r="AE29" s="16">
        <f t="shared" si="0"/>
        <v>0</v>
      </c>
      <c r="AF29" s="16">
        <f t="shared" si="1"/>
        <v>1</v>
      </c>
      <c r="AG29" s="16">
        <f t="shared" si="2"/>
        <v>1</v>
      </c>
      <c r="AH29" s="16">
        <f t="shared" si="3"/>
        <v>2</v>
      </c>
      <c r="AI29" s="16">
        <f t="shared" si="4"/>
        <v>0</v>
      </c>
      <c r="AJ29" s="16">
        <f t="shared" si="5"/>
        <v>1</v>
      </c>
      <c r="AK29" t="str">
        <f t="shared" si="6"/>
        <v>yes</v>
      </c>
    </row>
    <row r="30" spans="1:37" x14ac:dyDescent="0.2">
      <c r="A30" s="8"/>
      <c r="B30" s="30"/>
      <c r="C30" s="8"/>
      <c r="D30" s="8"/>
      <c r="E30" s="8"/>
      <c r="F30" s="8"/>
      <c r="G30" s="8"/>
      <c r="H30" s="8"/>
      <c r="I30" s="8"/>
      <c r="K30" s="16">
        <v>23</v>
      </c>
      <c r="L30" t="s">
        <v>512</v>
      </c>
      <c r="M30">
        <v>103</v>
      </c>
      <c r="N30">
        <v>0</v>
      </c>
      <c r="O30">
        <v>20</v>
      </c>
      <c r="P30">
        <v>83.74</v>
      </c>
      <c r="Q30">
        <v>98</v>
      </c>
      <c r="R30">
        <v>25</v>
      </c>
      <c r="S30">
        <v>79.67</v>
      </c>
      <c r="T30" s="8"/>
      <c r="U30" s="35">
        <v>23</v>
      </c>
      <c r="V30" s="8" t="s">
        <v>512</v>
      </c>
      <c r="W30" s="8">
        <v>0</v>
      </c>
      <c r="X30" s="8">
        <v>0</v>
      </c>
      <c r="Y30" s="8">
        <v>16320</v>
      </c>
      <c r="Z30" s="8">
        <v>0</v>
      </c>
      <c r="AA30" s="8">
        <v>0</v>
      </c>
      <c r="AB30" s="8">
        <v>16320</v>
      </c>
      <c r="AC30" s="8">
        <v>0</v>
      </c>
      <c r="AD30" s="8"/>
      <c r="AE30" s="16">
        <f t="shared" si="0"/>
        <v>0</v>
      </c>
      <c r="AF30" s="16">
        <f t="shared" si="1"/>
        <v>1</v>
      </c>
      <c r="AG30" s="16">
        <f t="shared" si="2"/>
        <v>0</v>
      </c>
      <c r="AH30" s="16">
        <f t="shared" si="3"/>
        <v>1</v>
      </c>
      <c r="AI30" s="16">
        <f t="shared" si="4"/>
        <v>0</v>
      </c>
      <c r="AJ30" s="16">
        <f t="shared" si="5"/>
        <v>1</v>
      </c>
      <c r="AK30" t="str">
        <f t="shared" si="6"/>
        <v>yes</v>
      </c>
    </row>
    <row r="31" spans="1:37" x14ac:dyDescent="0.2">
      <c r="A31" s="8"/>
      <c r="B31" s="30"/>
      <c r="C31" s="8"/>
      <c r="D31" s="8"/>
      <c r="E31" s="8"/>
      <c r="F31" s="8"/>
      <c r="G31" s="8"/>
      <c r="H31" s="8"/>
      <c r="I31" s="8"/>
      <c r="K31" s="16">
        <v>24</v>
      </c>
      <c r="L31" t="s">
        <v>513</v>
      </c>
      <c r="M31">
        <v>0</v>
      </c>
      <c r="N31">
        <v>0</v>
      </c>
      <c r="O31">
        <v>123</v>
      </c>
      <c r="P31">
        <v>0</v>
      </c>
      <c r="Q31">
        <v>0</v>
      </c>
      <c r="R31">
        <v>123</v>
      </c>
      <c r="S31">
        <v>0</v>
      </c>
      <c r="T31" s="8"/>
      <c r="U31" s="35">
        <v>24</v>
      </c>
      <c r="V31" s="8" t="s">
        <v>513</v>
      </c>
      <c r="W31" s="8">
        <v>0</v>
      </c>
      <c r="X31" s="8">
        <v>0</v>
      </c>
      <c r="Y31" s="8">
        <v>16320</v>
      </c>
      <c r="Z31" s="8">
        <v>0</v>
      </c>
      <c r="AA31" s="8">
        <v>0</v>
      </c>
      <c r="AB31" s="8">
        <v>16320</v>
      </c>
      <c r="AC31" s="8">
        <v>0</v>
      </c>
      <c r="AD31" s="8"/>
      <c r="AE31" s="16">
        <f t="shared" si="0"/>
        <v>0</v>
      </c>
      <c r="AF31" s="16">
        <f t="shared" si="1"/>
        <v>0</v>
      </c>
      <c r="AG31" s="16">
        <f t="shared" si="2"/>
        <v>0</v>
      </c>
      <c r="AH31" s="16">
        <f t="shared" si="3"/>
        <v>0</v>
      </c>
      <c r="AI31" s="16">
        <f t="shared" si="4"/>
        <v>1</v>
      </c>
      <c r="AJ31" s="16">
        <f t="shared" si="5"/>
        <v>0</v>
      </c>
      <c r="AK31" t="str">
        <f t="shared" si="6"/>
        <v>no</v>
      </c>
    </row>
    <row r="32" spans="1:37" x14ac:dyDescent="0.2">
      <c r="A32" s="8"/>
      <c r="B32" s="30"/>
      <c r="C32" s="8"/>
      <c r="D32" s="8"/>
      <c r="E32" s="8"/>
      <c r="F32" s="8"/>
      <c r="G32" s="8"/>
      <c r="H32" s="8"/>
      <c r="I32" s="8"/>
      <c r="K32" s="16">
        <v>25</v>
      </c>
      <c r="L32" t="s">
        <v>514</v>
      </c>
      <c r="M32">
        <v>106</v>
      </c>
      <c r="N32">
        <v>0</v>
      </c>
      <c r="O32">
        <v>17</v>
      </c>
      <c r="P32">
        <v>86.18</v>
      </c>
      <c r="Q32">
        <v>101</v>
      </c>
      <c r="R32">
        <v>22</v>
      </c>
      <c r="S32">
        <v>82.11</v>
      </c>
      <c r="T32" s="8"/>
      <c r="U32" s="35">
        <v>25</v>
      </c>
      <c r="V32" s="8" t="s">
        <v>514</v>
      </c>
      <c r="W32" s="8">
        <v>16181</v>
      </c>
      <c r="X32" s="8">
        <v>10</v>
      </c>
      <c r="Y32" s="8">
        <v>129</v>
      </c>
      <c r="Z32" s="8">
        <v>99.15</v>
      </c>
      <c r="AA32" s="8">
        <v>2013</v>
      </c>
      <c r="AB32" s="8">
        <v>14297</v>
      </c>
      <c r="AC32" s="8">
        <v>12.33</v>
      </c>
      <c r="AD32" s="8"/>
      <c r="AE32" s="16">
        <f t="shared" si="0"/>
        <v>0</v>
      </c>
      <c r="AF32" s="16">
        <f t="shared" si="1"/>
        <v>1</v>
      </c>
      <c r="AG32" s="16">
        <f t="shared" si="2"/>
        <v>1</v>
      </c>
      <c r="AH32" s="16">
        <f t="shared" si="3"/>
        <v>2</v>
      </c>
      <c r="AI32" s="16">
        <f t="shared" si="4"/>
        <v>0</v>
      </c>
      <c r="AJ32" s="16">
        <f t="shared" si="5"/>
        <v>1</v>
      </c>
      <c r="AK32" t="str">
        <f t="shared" si="6"/>
        <v>yes</v>
      </c>
    </row>
    <row r="33" spans="1:37" x14ac:dyDescent="0.2">
      <c r="A33" s="8"/>
      <c r="B33" s="30"/>
      <c r="C33" s="8"/>
      <c r="D33" s="8"/>
      <c r="E33" s="8"/>
      <c r="F33" s="8"/>
      <c r="G33" s="8"/>
      <c r="H33" s="8"/>
      <c r="I33" s="8"/>
      <c r="K33" s="16">
        <v>26</v>
      </c>
      <c r="L33" t="s">
        <v>515</v>
      </c>
      <c r="M33">
        <v>102</v>
      </c>
      <c r="N33">
        <v>0</v>
      </c>
      <c r="O33">
        <v>21</v>
      </c>
      <c r="P33">
        <v>82.93</v>
      </c>
      <c r="Q33">
        <v>97</v>
      </c>
      <c r="R33">
        <v>26</v>
      </c>
      <c r="S33">
        <v>78.86</v>
      </c>
      <c r="T33" s="8"/>
      <c r="U33" s="35">
        <v>26</v>
      </c>
      <c r="V33" s="8" t="s">
        <v>515</v>
      </c>
      <c r="W33" s="8">
        <v>16159</v>
      </c>
      <c r="X33" s="8">
        <v>18</v>
      </c>
      <c r="Y33" s="8">
        <v>143</v>
      </c>
      <c r="Z33" s="8">
        <v>99.01</v>
      </c>
      <c r="AA33" s="8">
        <v>2008</v>
      </c>
      <c r="AB33" s="8">
        <v>14294</v>
      </c>
      <c r="AC33" s="8">
        <v>12.3</v>
      </c>
      <c r="AD33" s="8"/>
      <c r="AE33" s="16">
        <f t="shared" si="0"/>
        <v>0</v>
      </c>
      <c r="AF33" s="16">
        <f t="shared" si="1"/>
        <v>1</v>
      </c>
      <c r="AG33" s="16">
        <f t="shared" si="2"/>
        <v>1</v>
      </c>
      <c r="AH33" s="16">
        <f t="shared" si="3"/>
        <v>2</v>
      </c>
      <c r="AI33" s="16">
        <f t="shared" si="4"/>
        <v>0</v>
      </c>
      <c r="AJ33" s="16">
        <f t="shared" si="5"/>
        <v>1</v>
      </c>
      <c r="AK33" t="str">
        <f t="shared" si="6"/>
        <v>yes</v>
      </c>
    </row>
    <row r="34" spans="1:37" x14ac:dyDescent="0.2">
      <c r="A34" s="8"/>
      <c r="B34" s="30"/>
      <c r="C34" s="8"/>
      <c r="D34" s="8"/>
      <c r="E34" s="8"/>
      <c r="F34" s="8"/>
      <c r="G34" s="8"/>
      <c r="H34" s="8"/>
      <c r="I34" s="8"/>
      <c r="K34" s="16">
        <v>27</v>
      </c>
      <c r="L34" t="s">
        <v>516</v>
      </c>
      <c r="M34">
        <v>0</v>
      </c>
      <c r="N34">
        <v>0</v>
      </c>
      <c r="O34">
        <v>123</v>
      </c>
      <c r="P34">
        <v>0</v>
      </c>
      <c r="Q34">
        <v>0</v>
      </c>
      <c r="R34">
        <v>123</v>
      </c>
      <c r="S34">
        <v>0</v>
      </c>
      <c r="T34" s="8"/>
      <c r="U34" s="35">
        <v>27</v>
      </c>
      <c r="V34" s="8" t="s">
        <v>516</v>
      </c>
      <c r="W34" s="8">
        <v>0</v>
      </c>
      <c r="X34" s="8">
        <v>0</v>
      </c>
      <c r="Y34" s="8">
        <v>16320</v>
      </c>
      <c r="Z34" s="8">
        <v>0</v>
      </c>
      <c r="AA34" s="8">
        <v>0</v>
      </c>
      <c r="AB34" s="8">
        <v>16320</v>
      </c>
      <c r="AC34" s="8">
        <v>0</v>
      </c>
      <c r="AD34" s="8"/>
      <c r="AE34" s="16">
        <f t="shared" si="0"/>
        <v>0</v>
      </c>
      <c r="AF34" s="16">
        <f t="shared" si="1"/>
        <v>0</v>
      </c>
      <c r="AG34" s="16">
        <f t="shared" si="2"/>
        <v>0</v>
      </c>
      <c r="AH34" s="16">
        <f t="shared" si="3"/>
        <v>0</v>
      </c>
      <c r="AI34" s="16">
        <f t="shared" si="4"/>
        <v>1</v>
      </c>
      <c r="AJ34" s="16">
        <f t="shared" si="5"/>
        <v>0</v>
      </c>
      <c r="AK34" t="str">
        <f t="shared" si="6"/>
        <v>no</v>
      </c>
    </row>
    <row r="35" spans="1:37" x14ac:dyDescent="0.2">
      <c r="A35" s="8"/>
      <c r="B35" s="30"/>
      <c r="C35" s="8"/>
      <c r="D35" s="8"/>
      <c r="E35" s="8"/>
      <c r="F35" s="8"/>
      <c r="G35" s="8"/>
      <c r="H35" s="8"/>
      <c r="I35" s="8"/>
      <c r="K35" s="16">
        <v>28</v>
      </c>
      <c r="L35" t="s">
        <v>517</v>
      </c>
      <c r="M35">
        <v>91</v>
      </c>
      <c r="N35">
        <v>0</v>
      </c>
      <c r="O35">
        <v>32</v>
      </c>
      <c r="P35">
        <v>73.98</v>
      </c>
      <c r="Q35">
        <v>86</v>
      </c>
      <c r="R35">
        <v>37</v>
      </c>
      <c r="S35">
        <v>69.92</v>
      </c>
      <c r="T35" s="8"/>
      <c r="U35" s="35">
        <v>28</v>
      </c>
      <c r="V35" s="8" t="s">
        <v>517</v>
      </c>
      <c r="W35" s="8">
        <v>0</v>
      </c>
      <c r="X35" s="8">
        <v>0</v>
      </c>
      <c r="Y35" s="8">
        <v>16320</v>
      </c>
      <c r="Z35" s="8">
        <v>0</v>
      </c>
      <c r="AA35" s="8">
        <v>0</v>
      </c>
      <c r="AB35" s="8">
        <v>16320</v>
      </c>
      <c r="AC35" s="8">
        <v>0</v>
      </c>
      <c r="AD35" s="8"/>
      <c r="AE35" s="16">
        <f t="shared" si="0"/>
        <v>0</v>
      </c>
      <c r="AF35" s="16">
        <f t="shared" si="1"/>
        <v>1</v>
      </c>
      <c r="AG35" s="16">
        <f t="shared" si="2"/>
        <v>0</v>
      </c>
      <c r="AH35" s="16">
        <f t="shared" si="3"/>
        <v>1</v>
      </c>
      <c r="AI35" s="16">
        <f t="shared" si="4"/>
        <v>0</v>
      </c>
      <c r="AJ35" s="16">
        <f t="shared" si="5"/>
        <v>1</v>
      </c>
      <c r="AK35" t="str">
        <f t="shared" si="6"/>
        <v>yes</v>
      </c>
    </row>
    <row r="36" spans="1:37" x14ac:dyDescent="0.2">
      <c r="A36" s="8"/>
      <c r="B36" s="30"/>
      <c r="C36" s="8"/>
      <c r="D36" s="8"/>
      <c r="E36" s="8"/>
      <c r="F36" s="8"/>
      <c r="G36" s="8"/>
      <c r="H36" s="8"/>
      <c r="I36" s="8"/>
      <c r="K36" s="16">
        <v>29</v>
      </c>
      <c r="L36" t="s">
        <v>518</v>
      </c>
      <c r="M36">
        <v>101</v>
      </c>
      <c r="N36">
        <v>0</v>
      </c>
      <c r="O36">
        <v>22</v>
      </c>
      <c r="P36">
        <v>82.11</v>
      </c>
      <c r="Q36">
        <v>96</v>
      </c>
      <c r="R36">
        <v>27</v>
      </c>
      <c r="S36">
        <v>78.05</v>
      </c>
      <c r="T36" s="8"/>
      <c r="U36" s="35">
        <v>29</v>
      </c>
      <c r="V36" s="8" t="s">
        <v>518</v>
      </c>
      <c r="W36" s="8">
        <v>0</v>
      </c>
      <c r="X36" s="8">
        <v>0</v>
      </c>
      <c r="Y36" s="8">
        <v>16320</v>
      </c>
      <c r="Z36" s="8">
        <v>0</v>
      </c>
      <c r="AA36" s="8">
        <v>0</v>
      </c>
      <c r="AB36" s="8">
        <v>16320</v>
      </c>
      <c r="AC36" s="8">
        <v>0</v>
      </c>
      <c r="AD36" s="8"/>
      <c r="AE36" s="16">
        <f t="shared" si="0"/>
        <v>0</v>
      </c>
      <c r="AF36" s="16">
        <f t="shared" si="1"/>
        <v>1</v>
      </c>
      <c r="AG36" s="16">
        <f t="shared" si="2"/>
        <v>0</v>
      </c>
      <c r="AH36" s="16">
        <f t="shared" si="3"/>
        <v>1</v>
      </c>
      <c r="AI36" s="16">
        <f t="shared" si="4"/>
        <v>0</v>
      </c>
      <c r="AJ36" s="16">
        <f t="shared" si="5"/>
        <v>1</v>
      </c>
      <c r="AK36" t="str">
        <f t="shared" si="6"/>
        <v>yes</v>
      </c>
    </row>
    <row r="37" spans="1:37" x14ac:dyDescent="0.2">
      <c r="A37" s="8"/>
      <c r="B37" s="30"/>
      <c r="C37" s="8"/>
      <c r="D37" s="8"/>
      <c r="E37" s="8"/>
      <c r="F37" s="8"/>
      <c r="G37" s="8"/>
      <c r="H37" s="8"/>
      <c r="I37" s="8"/>
      <c r="K37" s="16">
        <v>30</v>
      </c>
      <c r="L37" t="s">
        <v>519</v>
      </c>
      <c r="M37">
        <v>0</v>
      </c>
      <c r="N37">
        <v>0</v>
      </c>
      <c r="O37">
        <v>123</v>
      </c>
      <c r="P37">
        <v>0</v>
      </c>
      <c r="Q37">
        <v>0</v>
      </c>
      <c r="R37">
        <v>123</v>
      </c>
      <c r="S37">
        <v>0</v>
      </c>
      <c r="T37" s="8"/>
      <c r="U37" s="35">
        <v>30</v>
      </c>
      <c r="V37" s="8" t="s">
        <v>519</v>
      </c>
      <c r="W37" s="8">
        <v>0</v>
      </c>
      <c r="X37" s="8">
        <v>0</v>
      </c>
      <c r="Y37" s="8">
        <v>16320</v>
      </c>
      <c r="Z37" s="8">
        <v>0</v>
      </c>
      <c r="AA37" s="8">
        <v>0</v>
      </c>
      <c r="AB37" s="8">
        <v>16320</v>
      </c>
      <c r="AC37" s="8">
        <v>0</v>
      </c>
      <c r="AD37" s="8"/>
      <c r="AE37" s="16">
        <f t="shared" si="0"/>
        <v>0</v>
      </c>
      <c r="AF37" s="16">
        <f t="shared" si="1"/>
        <v>0</v>
      </c>
      <c r="AG37" s="16">
        <f t="shared" si="2"/>
        <v>0</v>
      </c>
      <c r="AH37" s="16">
        <f t="shared" si="3"/>
        <v>0</v>
      </c>
      <c r="AI37" s="16">
        <f t="shared" si="4"/>
        <v>1</v>
      </c>
      <c r="AJ37" s="16">
        <f t="shared" si="5"/>
        <v>0</v>
      </c>
      <c r="AK37" t="str">
        <f t="shared" si="6"/>
        <v>no</v>
      </c>
    </row>
    <row r="38" spans="1:37" x14ac:dyDescent="0.2">
      <c r="A38" s="8"/>
      <c r="B38" s="30"/>
      <c r="C38" s="8"/>
      <c r="D38" s="8"/>
      <c r="E38" s="8"/>
      <c r="F38" s="8"/>
      <c r="G38" s="8"/>
      <c r="H38" s="8"/>
      <c r="I38" s="8"/>
      <c r="K38" s="16">
        <v>31</v>
      </c>
      <c r="L38" t="s">
        <v>520</v>
      </c>
      <c r="M38">
        <v>0</v>
      </c>
      <c r="N38">
        <v>0</v>
      </c>
      <c r="O38">
        <v>123</v>
      </c>
      <c r="P38">
        <v>0</v>
      </c>
      <c r="Q38">
        <v>0</v>
      </c>
      <c r="R38">
        <v>123</v>
      </c>
      <c r="S38">
        <v>0</v>
      </c>
      <c r="T38" s="8"/>
      <c r="U38" s="35">
        <v>31</v>
      </c>
      <c r="V38" s="8" t="s">
        <v>520</v>
      </c>
      <c r="W38" s="8">
        <v>232</v>
      </c>
      <c r="X38" s="8">
        <v>0</v>
      </c>
      <c r="Y38" s="8">
        <v>16088</v>
      </c>
      <c r="Z38" s="8">
        <v>1.42</v>
      </c>
      <c r="AA38" s="8">
        <v>101</v>
      </c>
      <c r="AB38" s="8">
        <v>16219</v>
      </c>
      <c r="AC38" s="8">
        <v>0.62</v>
      </c>
      <c r="AD38" s="8"/>
      <c r="AE38" s="16">
        <f t="shared" si="0"/>
        <v>0</v>
      </c>
      <c r="AF38" s="16">
        <f t="shared" si="1"/>
        <v>0</v>
      </c>
      <c r="AG38" s="16">
        <f t="shared" si="2"/>
        <v>1</v>
      </c>
      <c r="AH38" s="16">
        <f t="shared" si="3"/>
        <v>1</v>
      </c>
      <c r="AI38" s="16">
        <f t="shared" si="4"/>
        <v>0</v>
      </c>
      <c r="AJ38" s="16">
        <f t="shared" si="5"/>
        <v>1</v>
      </c>
      <c r="AK38" t="str">
        <f t="shared" si="6"/>
        <v>yes</v>
      </c>
    </row>
    <row r="39" spans="1:37" x14ac:dyDescent="0.2">
      <c r="A39" s="8"/>
      <c r="B39" s="30"/>
      <c r="C39" s="8"/>
      <c r="D39" s="8"/>
      <c r="E39" s="8"/>
      <c r="F39" s="8"/>
      <c r="G39" s="8"/>
      <c r="H39" s="8"/>
      <c r="I39" s="8"/>
      <c r="K39" s="16">
        <v>32</v>
      </c>
      <c r="L39" t="s">
        <v>521</v>
      </c>
      <c r="M39">
        <v>101</v>
      </c>
      <c r="N39">
        <v>0</v>
      </c>
      <c r="O39">
        <v>22</v>
      </c>
      <c r="P39">
        <v>82.11</v>
      </c>
      <c r="Q39">
        <v>96</v>
      </c>
      <c r="R39">
        <v>27</v>
      </c>
      <c r="S39">
        <v>78.05</v>
      </c>
      <c r="T39" s="8"/>
      <c r="U39" s="35">
        <v>32</v>
      </c>
      <c r="V39" s="8" t="s">
        <v>521</v>
      </c>
      <c r="W39" s="8">
        <v>16123</v>
      </c>
      <c r="X39" s="8">
        <v>2</v>
      </c>
      <c r="Y39" s="8">
        <v>195</v>
      </c>
      <c r="Z39" s="8">
        <v>98.79</v>
      </c>
      <c r="AA39" s="8">
        <v>2012</v>
      </c>
      <c r="AB39" s="8">
        <v>14306</v>
      </c>
      <c r="AC39" s="8">
        <v>12.33</v>
      </c>
      <c r="AD39" s="8"/>
      <c r="AE39" s="16">
        <f t="shared" si="0"/>
        <v>0</v>
      </c>
      <c r="AF39" s="16">
        <f t="shared" si="1"/>
        <v>1</v>
      </c>
      <c r="AG39" s="16">
        <f t="shared" si="2"/>
        <v>1</v>
      </c>
      <c r="AH39" s="16">
        <f t="shared" si="3"/>
        <v>2</v>
      </c>
      <c r="AI39" s="16">
        <f t="shared" si="4"/>
        <v>0</v>
      </c>
      <c r="AJ39" s="16">
        <f t="shared" si="5"/>
        <v>1</v>
      </c>
      <c r="AK39" t="str">
        <f t="shared" si="6"/>
        <v>yes</v>
      </c>
    </row>
    <row r="40" spans="1:37" x14ac:dyDescent="0.2">
      <c r="A40" s="8"/>
      <c r="B40" s="30"/>
      <c r="C40" s="8"/>
      <c r="D40" s="8"/>
      <c r="E40" s="8"/>
      <c r="F40" s="8"/>
      <c r="G40" s="8"/>
      <c r="H40" s="8"/>
      <c r="I40" s="8"/>
      <c r="K40" s="16">
        <v>33</v>
      </c>
      <c r="L40" t="s">
        <v>522</v>
      </c>
      <c r="M40">
        <v>0</v>
      </c>
      <c r="N40">
        <v>0</v>
      </c>
      <c r="O40">
        <v>123</v>
      </c>
      <c r="P40">
        <v>0</v>
      </c>
      <c r="Q40">
        <v>0</v>
      </c>
      <c r="R40">
        <v>123</v>
      </c>
      <c r="S40">
        <v>0</v>
      </c>
      <c r="T40" s="8"/>
      <c r="U40" s="35">
        <v>33</v>
      </c>
      <c r="V40" s="8" t="s">
        <v>522</v>
      </c>
      <c r="W40" s="8">
        <v>0</v>
      </c>
      <c r="X40" s="8">
        <v>0</v>
      </c>
      <c r="Y40" s="8">
        <v>16320</v>
      </c>
      <c r="Z40" s="8">
        <v>0</v>
      </c>
      <c r="AA40" s="8">
        <v>0</v>
      </c>
      <c r="AB40" s="8">
        <v>16320</v>
      </c>
      <c r="AC40" s="8">
        <v>0</v>
      </c>
      <c r="AD40" s="8"/>
      <c r="AE40" s="16">
        <f t="shared" si="0"/>
        <v>0</v>
      </c>
      <c r="AF40" s="16">
        <f t="shared" si="1"/>
        <v>0</v>
      </c>
      <c r="AG40" s="16">
        <f t="shared" si="2"/>
        <v>0</v>
      </c>
      <c r="AH40" s="16">
        <f t="shared" si="3"/>
        <v>0</v>
      </c>
      <c r="AI40" s="16">
        <f t="shared" si="4"/>
        <v>1</v>
      </c>
      <c r="AJ40" s="16">
        <f t="shared" si="5"/>
        <v>0</v>
      </c>
      <c r="AK40" t="str">
        <f t="shared" si="6"/>
        <v>no</v>
      </c>
    </row>
    <row r="41" spans="1:37" x14ac:dyDescent="0.2">
      <c r="A41" s="8"/>
      <c r="B41" s="30"/>
      <c r="C41" s="8"/>
      <c r="D41" s="8"/>
      <c r="E41" s="8"/>
      <c r="F41" s="8"/>
      <c r="G41" s="8"/>
      <c r="H41" s="8"/>
      <c r="I41" s="8"/>
      <c r="K41" s="16">
        <v>34</v>
      </c>
      <c r="L41" t="s">
        <v>523</v>
      </c>
      <c r="M41">
        <v>82</v>
      </c>
      <c r="N41">
        <v>0</v>
      </c>
      <c r="O41">
        <v>41</v>
      </c>
      <c r="P41">
        <v>66.67</v>
      </c>
      <c r="Q41">
        <v>77</v>
      </c>
      <c r="R41">
        <v>46</v>
      </c>
      <c r="S41">
        <v>62.6</v>
      </c>
      <c r="T41" s="8"/>
      <c r="U41" s="35">
        <v>34</v>
      </c>
      <c r="V41" s="8" t="s">
        <v>523</v>
      </c>
      <c r="W41" s="8">
        <v>0</v>
      </c>
      <c r="X41" s="8">
        <v>0</v>
      </c>
      <c r="Y41" s="8">
        <v>16320</v>
      </c>
      <c r="Z41" s="8">
        <v>0</v>
      </c>
      <c r="AA41" s="8">
        <v>0</v>
      </c>
      <c r="AB41" s="8">
        <v>16320</v>
      </c>
      <c r="AC41" s="8">
        <v>0</v>
      </c>
      <c r="AD41" s="8"/>
      <c r="AE41" s="16">
        <f t="shared" si="0"/>
        <v>0</v>
      </c>
      <c r="AF41" s="16">
        <f t="shared" si="1"/>
        <v>1</v>
      </c>
      <c r="AG41" s="16">
        <f t="shared" si="2"/>
        <v>0</v>
      </c>
      <c r="AH41" s="16">
        <f t="shared" si="3"/>
        <v>1</v>
      </c>
      <c r="AI41" s="16">
        <f t="shared" si="4"/>
        <v>0</v>
      </c>
      <c r="AJ41" s="16">
        <f t="shared" si="5"/>
        <v>1</v>
      </c>
      <c r="AK41" t="str">
        <f t="shared" si="6"/>
        <v>yes</v>
      </c>
    </row>
    <row r="42" spans="1:37" x14ac:dyDescent="0.2">
      <c r="A42" s="8"/>
      <c r="B42" s="30"/>
      <c r="C42" s="8"/>
      <c r="D42" s="8"/>
      <c r="E42" s="8"/>
      <c r="F42" s="8"/>
      <c r="G42" s="8"/>
      <c r="H42" s="8"/>
      <c r="I42" s="8"/>
      <c r="K42" s="16">
        <v>35</v>
      </c>
      <c r="L42" t="s">
        <v>524</v>
      </c>
      <c r="M42">
        <v>103</v>
      </c>
      <c r="N42">
        <v>0</v>
      </c>
      <c r="O42">
        <v>20</v>
      </c>
      <c r="P42">
        <v>83.74</v>
      </c>
      <c r="Q42">
        <v>98</v>
      </c>
      <c r="R42">
        <v>25</v>
      </c>
      <c r="S42">
        <v>79.67</v>
      </c>
      <c r="T42" s="8"/>
      <c r="U42" s="35">
        <v>35</v>
      </c>
      <c r="V42" s="8" t="s">
        <v>524</v>
      </c>
      <c r="W42" s="8">
        <v>0</v>
      </c>
      <c r="X42" s="8">
        <v>0</v>
      </c>
      <c r="Y42" s="8">
        <v>16320</v>
      </c>
      <c r="Z42" s="8">
        <v>0</v>
      </c>
      <c r="AA42" s="8">
        <v>0</v>
      </c>
      <c r="AB42" s="8">
        <v>16320</v>
      </c>
      <c r="AC42" s="8">
        <v>0</v>
      </c>
      <c r="AD42" s="8"/>
      <c r="AE42" s="16">
        <f t="shared" si="0"/>
        <v>0</v>
      </c>
      <c r="AF42" s="16">
        <f t="shared" si="1"/>
        <v>1</v>
      </c>
      <c r="AG42" s="16">
        <f t="shared" si="2"/>
        <v>0</v>
      </c>
      <c r="AH42" s="16">
        <f t="shared" si="3"/>
        <v>1</v>
      </c>
      <c r="AI42" s="16">
        <f t="shared" si="4"/>
        <v>0</v>
      </c>
      <c r="AJ42" s="16">
        <f t="shared" si="5"/>
        <v>1</v>
      </c>
      <c r="AK42" t="str">
        <f t="shared" si="6"/>
        <v>yes</v>
      </c>
    </row>
    <row r="43" spans="1:37" x14ac:dyDescent="0.2">
      <c r="A43" s="8"/>
      <c r="B43" s="30"/>
      <c r="C43" s="8"/>
      <c r="D43" s="8"/>
      <c r="E43" s="8"/>
      <c r="F43" s="8"/>
      <c r="G43" s="8"/>
      <c r="H43" s="8"/>
      <c r="I43" s="8"/>
      <c r="K43" s="16">
        <v>36</v>
      </c>
      <c r="L43" t="s">
        <v>525</v>
      </c>
      <c r="M43">
        <v>0</v>
      </c>
      <c r="N43">
        <v>0</v>
      </c>
      <c r="O43">
        <v>123</v>
      </c>
      <c r="P43">
        <v>0</v>
      </c>
      <c r="Q43">
        <v>0</v>
      </c>
      <c r="R43">
        <v>123</v>
      </c>
      <c r="S43">
        <v>0</v>
      </c>
      <c r="T43" s="8"/>
      <c r="U43" s="35">
        <v>36</v>
      </c>
      <c r="V43" s="8" t="s">
        <v>525</v>
      </c>
      <c r="W43" s="8">
        <v>0</v>
      </c>
      <c r="X43" s="8">
        <v>0</v>
      </c>
      <c r="Y43" s="8">
        <v>16320</v>
      </c>
      <c r="Z43" s="8">
        <v>0</v>
      </c>
      <c r="AA43" s="8">
        <v>0</v>
      </c>
      <c r="AB43" s="8">
        <v>16320</v>
      </c>
      <c r="AC43" s="8">
        <v>0</v>
      </c>
      <c r="AD43" s="8"/>
      <c r="AE43" s="16">
        <f t="shared" si="0"/>
        <v>0</v>
      </c>
      <c r="AF43" s="16">
        <f t="shared" si="1"/>
        <v>0</v>
      </c>
      <c r="AG43" s="16">
        <f t="shared" si="2"/>
        <v>0</v>
      </c>
      <c r="AH43" s="16">
        <f t="shared" si="3"/>
        <v>0</v>
      </c>
      <c r="AI43" s="16">
        <f t="shared" si="4"/>
        <v>1</v>
      </c>
      <c r="AJ43" s="16">
        <f t="shared" si="5"/>
        <v>0</v>
      </c>
      <c r="AK43" t="str">
        <f t="shared" si="6"/>
        <v>no</v>
      </c>
    </row>
    <row r="44" spans="1:37" x14ac:dyDescent="0.2">
      <c r="A44" s="8"/>
      <c r="B44" s="30"/>
      <c r="C44" s="8"/>
      <c r="D44" s="8"/>
      <c r="E44" s="8"/>
      <c r="F44" s="8"/>
      <c r="G44" s="8"/>
      <c r="H44" s="8"/>
      <c r="I44" s="8"/>
      <c r="K44" s="16">
        <v>37</v>
      </c>
      <c r="L44" t="s">
        <v>526</v>
      </c>
      <c r="M44">
        <v>0</v>
      </c>
      <c r="N44">
        <v>0</v>
      </c>
      <c r="O44">
        <v>123</v>
      </c>
      <c r="P44">
        <v>0</v>
      </c>
      <c r="Q44">
        <v>0</v>
      </c>
      <c r="R44">
        <v>123</v>
      </c>
      <c r="S44">
        <v>0</v>
      </c>
      <c r="T44" s="8"/>
      <c r="U44" s="35">
        <v>37</v>
      </c>
      <c r="V44" s="8" t="s">
        <v>526</v>
      </c>
      <c r="W44" s="8">
        <v>0</v>
      </c>
      <c r="X44" s="8">
        <v>0</v>
      </c>
      <c r="Y44" s="8">
        <v>16320</v>
      </c>
      <c r="Z44" s="8">
        <v>0</v>
      </c>
      <c r="AA44" s="8">
        <v>0</v>
      </c>
      <c r="AB44" s="8">
        <v>16320</v>
      </c>
      <c r="AC44" s="8">
        <v>0</v>
      </c>
      <c r="AD44" s="8"/>
      <c r="AE44" s="16">
        <f t="shared" si="0"/>
        <v>0</v>
      </c>
      <c r="AF44" s="16">
        <f t="shared" si="1"/>
        <v>0</v>
      </c>
      <c r="AG44" s="16">
        <f t="shared" si="2"/>
        <v>0</v>
      </c>
      <c r="AH44" s="16">
        <f t="shared" si="3"/>
        <v>0</v>
      </c>
      <c r="AI44" s="16">
        <f t="shared" si="4"/>
        <v>1</v>
      </c>
      <c r="AJ44" s="16">
        <f t="shared" si="5"/>
        <v>0</v>
      </c>
      <c r="AK44" t="str">
        <f t="shared" si="6"/>
        <v>no</v>
      </c>
    </row>
    <row r="45" spans="1:37" x14ac:dyDescent="0.2">
      <c r="A45" s="8"/>
      <c r="B45" s="30"/>
      <c r="C45" s="8"/>
      <c r="D45" s="8"/>
      <c r="E45" s="8"/>
      <c r="F45" s="8"/>
      <c r="G45" s="8"/>
      <c r="H45" s="8"/>
      <c r="I45" s="8"/>
      <c r="K45" s="16">
        <v>38</v>
      </c>
      <c r="L45" t="s">
        <v>527</v>
      </c>
      <c r="M45">
        <v>106</v>
      </c>
      <c r="N45">
        <v>0</v>
      </c>
      <c r="O45">
        <v>17</v>
      </c>
      <c r="P45">
        <v>86.18</v>
      </c>
      <c r="Q45">
        <v>101</v>
      </c>
      <c r="R45">
        <v>22</v>
      </c>
      <c r="S45">
        <v>82.11</v>
      </c>
      <c r="T45" s="8"/>
      <c r="U45" s="35">
        <v>38</v>
      </c>
      <c r="V45" s="8" t="s">
        <v>527</v>
      </c>
      <c r="W45" s="8">
        <v>0</v>
      </c>
      <c r="X45" s="8">
        <v>0</v>
      </c>
      <c r="Y45" s="8">
        <v>16320</v>
      </c>
      <c r="Z45" s="8">
        <v>0</v>
      </c>
      <c r="AA45" s="8">
        <v>0</v>
      </c>
      <c r="AB45" s="8">
        <v>16320</v>
      </c>
      <c r="AC45" s="8">
        <v>0</v>
      </c>
      <c r="AD45" s="8"/>
      <c r="AE45" s="16">
        <f t="shared" si="0"/>
        <v>0</v>
      </c>
      <c r="AF45" s="16">
        <f t="shared" si="1"/>
        <v>1</v>
      </c>
      <c r="AG45" s="16">
        <f t="shared" si="2"/>
        <v>0</v>
      </c>
      <c r="AH45" s="16">
        <f t="shared" si="3"/>
        <v>1</v>
      </c>
      <c r="AI45" s="16">
        <f t="shared" si="4"/>
        <v>0</v>
      </c>
      <c r="AJ45" s="16">
        <f t="shared" si="5"/>
        <v>1</v>
      </c>
      <c r="AK45" t="str">
        <f t="shared" si="6"/>
        <v>yes</v>
      </c>
    </row>
    <row r="46" spans="1:37" x14ac:dyDescent="0.2">
      <c r="A46" s="8"/>
      <c r="B46" s="30"/>
      <c r="C46" s="8"/>
      <c r="D46" s="8"/>
      <c r="E46" s="8"/>
      <c r="F46" s="8"/>
      <c r="G46" s="8"/>
      <c r="H46" s="8"/>
      <c r="I46" s="8"/>
      <c r="K46" s="16">
        <v>39</v>
      </c>
      <c r="L46" t="s">
        <v>528</v>
      </c>
      <c r="M46">
        <v>0</v>
      </c>
      <c r="N46">
        <v>0</v>
      </c>
      <c r="O46">
        <v>123</v>
      </c>
      <c r="P46">
        <v>0</v>
      </c>
      <c r="Q46">
        <v>0</v>
      </c>
      <c r="R46">
        <v>123</v>
      </c>
      <c r="S46">
        <v>0</v>
      </c>
      <c r="T46" s="8"/>
      <c r="U46" s="35">
        <v>39</v>
      </c>
      <c r="V46" s="8" t="s">
        <v>528</v>
      </c>
      <c r="W46" s="8">
        <v>16129</v>
      </c>
      <c r="X46" s="8">
        <v>21</v>
      </c>
      <c r="Y46" s="8">
        <v>170</v>
      </c>
      <c r="Z46" s="8">
        <v>98.83</v>
      </c>
      <c r="AA46" s="8">
        <v>1998</v>
      </c>
      <c r="AB46" s="8">
        <v>14301</v>
      </c>
      <c r="AC46" s="8">
        <v>12.24</v>
      </c>
      <c r="AD46" s="8"/>
      <c r="AE46" s="16">
        <f t="shared" si="0"/>
        <v>0</v>
      </c>
      <c r="AF46" s="16">
        <f t="shared" si="1"/>
        <v>0</v>
      </c>
      <c r="AG46" s="16">
        <f t="shared" si="2"/>
        <v>1</v>
      </c>
      <c r="AH46" s="16">
        <f t="shared" si="3"/>
        <v>1</v>
      </c>
      <c r="AI46" s="16">
        <f t="shared" si="4"/>
        <v>0</v>
      </c>
      <c r="AJ46" s="16">
        <f t="shared" si="5"/>
        <v>1</v>
      </c>
      <c r="AK46" t="str">
        <f t="shared" si="6"/>
        <v>yes</v>
      </c>
    </row>
    <row r="47" spans="1:37" x14ac:dyDescent="0.2">
      <c r="A47" s="8"/>
      <c r="B47" s="30"/>
      <c r="C47" s="8"/>
      <c r="D47" s="8"/>
      <c r="E47" s="8"/>
      <c r="F47" s="8"/>
      <c r="G47" s="8"/>
      <c r="H47" s="8"/>
      <c r="I47" s="8"/>
      <c r="K47" s="16">
        <v>40</v>
      </c>
      <c r="L47" t="s">
        <v>529</v>
      </c>
      <c r="M47">
        <v>0</v>
      </c>
      <c r="N47">
        <v>0</v>
      </c>
      <c r="O47">
        <v>123</v>
      </c>
      <c r="P47">
        <v>0</v>
      </c>
      <c r="Q47">
        <v>0</v>
      </c>
      <c r="R47">
        <v>123</v>
      </c>
      <c r="S47">
        <v>0</v>
      </c>
      <c r="T47" s="8"/>
      <c r="U47" s="35">
        <v>40</v>
      </c>
      <c r="V47" s="8" t="s">
        <v>529</v>
      </c>
      <c r="W47" s="8">
        <v>16192</v>
      </c>
      <c r="X47" s="8">
        <v>3</v>
      </c>
      <c r="Y47" s="8">
        <v>125</v>
      </c>
      <c r="Z47" s="8">
        <v>99.22</v>
      </c>
      <c r="AA47" s="8">
        <v>2022</v>
      </c>
      <c r="AB47" s="8">
        <v>14295</v>
      </c>
      <c r="AC47" s="8">
        <v>12.39</v>
      </c>
      <c r="AD47" s="8"/>
      <c r="AE47" s="16">
        <f t="shared" si="0"/>
        <v>0</v>
      </c>
      <c r="AF47" s="16">
        <f t="shared" si="1"/>
        <v>0</v>
      </c>
      <c r="AG47" s="16">
        <f t="shared" si="2"/>
        <v>1</v>
      </c>
      <c r="AH47" s="16">
        <f t="shared" si="3"/>
        <v>1</v>
      </c>
      <c r="AI47" s="16">
        <f t="shared" si="4"/>
        <v>0</v>
      </c>
      <c r="AJ47" s="16">
        <f t="shared" si="5"/>
        <v>1</v>
      </c>
      <c r="AK47" t="str">
        <f t="shared" si="6"/>
        <v>yes</v>
      </c>
    </row>
    <row r="48" spans="1:37" x14ac:dyDescent="0.2">
      <c r="A48" s="8"/>
      <c r="B48" s="30"/>
      <c r="C48" s="8"/>
      <c r="D48" s="8"/>
      <c r="E48" s="8"/>
      <c r="F48" s="8"/>
      <c r="G48" s="8"/>
      <c r="H48" s="8"/>
      <c r="I48" s="8"/>
      <c r="K48" s="16">
        <v>41</v>
      </c>
      <c r="L48" t="s">
        <v>530</v>
      </c>
      <c r="M48">
        <v>0</v>
      </c>
      <c r="N48">
        <v>0</v>
      </c>
      <c r="O48">
        <v>123</v>
      </c>
      <c r="P48">
        <v>0</v>
      </c>
      <c r="Q48">
        <v>0</v>
      </c>
      <c r="R48">
        <v>123</v>
      </c>
      <c r="S48">
        <v>0</v>
      </c>
      <c r="T48" s="8"/>
      <c r="U48" s="35">
        <v>41</v>
      </c>
      <c r="V48" s="8" t="s">
        <v>530</v>
      </c>
      <c r="W48" s="8">
        <v>0</v>
      </c>
      <c r="X48" s="8">
        <v>0</v>
      </c>
      <c r="Y48" s="8">
        <v>16320</v>
      </c>
      <c r="Z48" s="8">
        <v>0</v>
      </c>
      <c r="AA48" s="8">
        <v>0</v>
      </c>
      <c r="AB48" s="8">
        <v>16320</v>
      </c>
      <c r="AC48" s="8">
        <v>0</v>
      </c>
      <c r="AD48" s="8"/>
      <c r="AE48" s="16">
        <f t="shared" si="0"/>
        <v>0</v>
      </c>
      <c r="AF48" s="16">
        <f t="shared" si="1"/>
        <v>0</v>
      </c>
      <c r="AG48" s="16">
        <f t="shared" si="2"/>
        <v>0</v>
      </c>
      <c r="AH48" s="16">
        <f t="shared" si="3"/>
        <v>0</v>
      </c>
      <c r="AI48" s="16">
        <f t="shared" si="4"/>
        <v>1</v>
      </c>
      <c r="AJ48" s="16">
        <f t="shared" si="5"/>
        <v>0</v>
      </c>
      <c r="AK48" t="str">
        <f t="shared" si="6"/>
        <v>no</v>
      </c>
    </row>
    <row r="49" spans="1:37" x14ac:dyDescent="0.2">
      <c r="A49" s="8"/>
      <c r="B49" s="30"/>
      <c r="C49" s="8"/>
      <c r="D49" s="8"/>
      <c r="E49" s="8"/>
      <c r="F49" s="8"/>
      <c r="G49" s="8"/>
      <c r="H49" s="8"/>
      <c r="I49" s="8"/>
      <c r="K49" s="16">
        <v>42</v>
      </c>
      <c r="L49" t="s">
        <v>531</v>
      </c>
      <c r="M49">
        <v>0</v>
      </c>
      <c r="N49">
        <v>0</v>
      </c>
      <c r="O49">
        <v>123</v>
      </c>
      <c r="P49">
        <v>0</v>
      </c>
      <c r="Q49">
        <v>0</v>
      </c>
      <c r="R49">
        <v>123</v>
      </c>
      <c r="S49">
        <v>0</v>
      </c>
      <c r="T49" s="8"/>
      <c r="U49" s="35">
        <v>42</v>
      </c>
      <c r="V49" s="8" t="s">
        <v>531</v>
      </c>
      <c r="W49" s="8">
        <v>16094</v>
      </c>
      <c r="X49" s="8">
        <v>8</v>
      </c>
      <c r="Y49" s="8">
        <v>218</v>
      </c>
      <c r="Z49" s="8">
        <v>98.62</v>
      </c>
      <c r="AA49" s="8">
        <v>1993</v>
      </c>
      <c r="AB49" s="8">
        <v>14319</v>
      </c>
      <c r="AC49" s="8">
        <v>12.21</v>
      </c>
      <c r="AD49" s="8"/>
      <c r="AE49" s="16">
        <f t="shared" si="0"/>
        <v>0</v>
      </c>
      <c r="AF49" s="16">
        <f t="shared" si="1"/>
        <v>0</v>
      </c>
      <c r="AG49" s="16">
        <f t="shared" si="2"/>
        <v>1</v>
      </c>
      <c r="AH49" s="16">
        <f t="shared" si="3"/>
        <v>1</v>
      </c>
      <c r="AI49" s="16">
        <f t="shared" si="4"/>
        <v>0</v>
      </c>
      <c r="AJ49" s="16">
        <f t="shared" si="5"/>
        <v>1</v>
      </c>
      <c r="AK49" t="str">
        <f t="shared" si="6"/>
        <v>yes</v>
      </c>
    </row>
    <row r="50" spans="1:37" x14ac:dyDescent="0.2">
      <c r="A50" s="8"/>
      <c r="B50" s="30"/>
      <c r="C50" s="8"/>
      <c r="D50" s="8"/>
      <c r="E50" s="8"/>
      <c r="F50" s="8"/>
      <c r="G50" s="8"/>
      <c r="H50" s="8"/>
      <c r="I50" s="8"/>
      <c r="K50" s="16">
        <v>43</v>
      </c>
      <c r="L50" t="s">
        <v>532</v>
      </c>
      <c r="M50">
        <v>0</v>
      </c>
      <c r="N50">
        <v>0</v>
      </c>
      <c r="O50">
        <v>123</v>
      </c>
      <c r="P50">
        <v>0</v>
      </c>
      <c r="Q50">
        <v>0</v>
      </c>
      <c r="R50">
        <v>123</v>
      </c>
      <c r="S50">
        <v>0</v>
      </c>
      <c r="T50" s="8"/>
      <c r="U50" s="35">
        <v>43</v>
      </c>
      <c r="V50" s="8" t="s">
        <v>532</v>
      </c>
      <c r="W50" s="8">
        <v>0</v>
      </c>
      <c r="X50" s="8">
        <v>0</v>
      </c>
      <c r="Y50" s="8">
        <v>16320</v>
      </c>
      <c r="Z50" s="8">
        <v>0</v>
      </c>
      <c r="AA50" s="8">
        <v>0</v>
      </c>
      <c r="AB50" s="8">
        <v>16320</v>
      </c>
      <c r="AC50" s="8">
        <v>0</v>
      </c>
      <c r="AD50" s="8"/>
      <c r="AE50" s="16">
        <f t="shared" si="0"/>
        <v>0</v>
      </c>
      <c r="AF50" s="16">
        <f t="shared" si="1"/>
        <v>0</v>
      </c>
      <c r="AG50" s="16">
        <f t="shared" si="2"/>
        <v>0</v>
      </c>
      <c r="AH50" s="16">
        <f t="shared" si="3"/>
        <v>0</v>
      </c>
      <c r="AI50" s="16">
        <f t="shared" si="4"/>
        <v>1</v>
      </c>
      <c r="AJ50" s="16">
        <f t="shared" si="5"/>
        <v>0</v>
      </c>
      <c r="AK50" t="str">
        <f t="shared" si="6"/>
        <v>no</v>
      </c>
    </row>
    <row r="51" spans="1:37" x14ac:dyDescent="0.2">
      <c r="A51" s="8"/>
      <c r="B51" s="30"/>
      <c r="C51" s="8"/>
      <c r="D51" s="8"/>
      <c r="E51" s="8"/>
      <c r="F51" s="8"/>
      <c r="G51" s="8"/>
      <c r="H51" s="8"/>
      <c r="I51" s="8"/>
      <c r="K51" s="16">
        <v>44</v>
      </c>
      <c r="L51" t="s">
        <v>533</v>
      </c>
      <c r="M51">
        <v>106</v>
      </c>
      <c r="N51">
        <v>0</v>
      </c>
      <c r="O51">
        <v>17</v>
      </c>
      <c r="P51">
        <v>86.18</v>
      </c>
      <c r="Q51">
        <v>101</v>
      </c>
      <c r="R51">
        <v>22</v>
      </c>
      <c r="S51">
        <v>82.11</v>
      </c>
      <c r="T51" s="8"/>
      <c r="U51" s="35">
        <v>44</v>
      </c>
      <c r="V51" s="8" t="s">
        <v>533</v>
      </c>
      <c r="W51" s="8">
        <v>0</v>
      </c>
      <c r="X51" s="8">
        <v>0</v>
      </c>
      <c r="Y51" s="8">
        <v>16320</v>
      </c>
      <c r="Z51" s="8">
        <v>0</v>
      </c>
      <c r="AA51" s="8">
        <v>0</v>
      </c>
      <c r="AB51" s="8">
        <v>16320</v>
      </c>
      <c r="AC51" s="8">
        <v>0</v>
      </c>
      <c r="AD51" s="8"/>
      <c r="AE51" s="16">
        <f t="shared" si="0"/>
        <v>0</v>
      </c>
      <c r="AF51" s="16">
        <f t="shared" si="1"/>
        <v>1</v>
      </c>
      <c r="AG51" s="16">
        <f t="shared" si="2"/>
        <v>0</v>
      </c>
      <c r="AH51" s="16">
        <f t="shared" si="3"/>
        <v>1</v>
      </c>
      <c r="AI51" s="16">
        <f t="shared" si="4"/>
        <v>0</v>
      </c>
      <c r="AJ51" s="16">
        <f t="shared" si="5"/>
        <v>1</v>
      </c>
      <c r="AK51" t="str">
        <f t="shared" si="6"/>
        <v>yes</v>
      </c>
    </row>
    <row r="52" spans="1:37" x14ac:dyDescent="0.2">
      <c r="A52" s="8"/>
      <c r="B52" s="30"/>
      <c r="C52" s="8"/>
      <c r="D52" s="8"/>
      <c r="E52" s="8"/>
      <c r="F52" s="8"/>
      <c r="G52" s="8"/>
      <c r="H52" s="8"/>
      <c r="I52" s="8"/>
      <c r="K52" s="16">
        <v>45</v>
      </c>
      <c r="L52" t="s">
        <v>534</v>
      </c>
      <c r="M52">
        <v>0</v>
      </c>
      <c r="N52">
        <v>0</v>
      </c>
      <c r="O52">
        <v>123</v>
      </c>
      <c r="P52">
        <v>0</v>
      </c>
      <c r="Q52">
        <v>0</v>
      </c>
      <c r="R52">
        <v>123</v>
      </c>
      <c r="S52">
        <v>0</v>
      </c>
      <c r="T52" s="8"/>
      <c r="U52" s="35">
        <v>45</v>
      </c>
      <c r="V52" s="8" t="s">
        <v>534</v>
      </c>
      <c r="W52" s="8">
        <v>0</v>
      </c>
      <c r="X52" s="8">
        <v>0</v>
      </c>
      <c r="Y52" s="8">
        <v>16320</v>
      </c>
      <c r="Z52" s="8">
        <v>0</v>
      </c>
      <c r="AA52" s="8">
        <v>0</v>
      </c>
      <c r="AB52" s="8">
        <v>16320</v>
      </c>
      <c r="AC52" s="8">
        <v>0</v>
      </c>
      <c r="AD52" s="8"/>
      <c r="AE52" s="16">
        <f t="shared" si="0"/>
        <v>0</v>
      </c>
      <c r="AF52" s="16">
        <f t="shared" si="1"/>
        <v>0</v>
      </c>
      <c r="AG52" s="16">
        <f t="shared" si="2"/>
        <v>0</v>
      </c>
      <c r="AH52" s="16">
        <f t="shared" si="3"/>
        <v>0</v>
      </c>
      <c r="AI52" s="16">
        <f t="shared" si="4"/>
        <v>1</v>
      </c>
      <c r="AJ52" s="16">
        <f t="shared" si="5"/>
        <v>0</v>
      </c>
      <c r="AK52" t="str">
        <f t="shared" si="6"/>
        <v>no</v>
      </c>
    </row>
    <row r="53" spans="1:37" x14ac:dyDescent="0.2">
      <c r="A53" s="8"/>
      <c r="B53" s="30"/>
      <c r="C53" s="8"/>
      <c r="D53" s="8"/>
      <c r="E53" s="8"/>
      <c r="F53" s="8"/>
      <c r="G53" s="8"/>
      <c r="H53" s="8"/>
      <c r="I53" s="8"/>
      <c r="K53" s="16">
        <v>46</v>
      </c>
      <c r="L53" t="s">
        <v>535</v>
      </c>
      <c r="M53">
        <v>0</v>
      </c>
      <c r="N53">
        <v>0</v>
      </c>
      <c r="O53">
        <v>123</v>
      </c>
      <c r="P53">
        <v>0</v>
      </c>
      <c r="Q53">
        <v>0</v>
      </c>
      <c r="R53">
        <v>123</v>
      </c>
      <c r="S53">
        <v>0</v>
      </c>
      <c r="T53" s="8"/>
      <c r="U53" s="35">
        <v>46</v>
      </c>
      <c r="V53" s="8" t="s">
        <v>535</v>
      </c>
      <c r="W53" s="8">
        <v>0</v>
      </c>
      <c r="X53" s="8">
        <v>0</v>
      </c>
      <c r="Y53" s="8">
        <v>16320</v>
      </c>
      <c r="Z53" s="8">
        <v>0</v>
      </c>
      <c r="AA53" s="8">
        <v>0</v>
      </c>
      <c r="AB53" s="8">
        <v>16320</v>
      </c>
      <c r="AC53" s="8">
        <v>0</v>
      </c>
      <c r="AD53" s="8"/>
      <c r="AE53" s="16">
        <f t="shared" si="0"/>
        <v>0</v>
      </c>
      <c r="AF53" s="16">
        <f t="shared" si="1"/>
        <v>0</v>
      </c>
      <c r="AG53" s="16">
        <f t="shared" si="2"/>
        <v>0</v>
      </c>
      <c r="AH53" s="16">
        <f t="shared" si="3"/>
        <v>0</v>
      </c>
      <c r="AI53" s="16">
        <f t="shared" si="4"/>
        <v>1</v>
      </c>
      <c r="AJ53" s="16">
        <f t="shared" si="5"/>
        <v>0</v>
      </c>
      <c r="AK53" t="str">
        <f t="shared" si="6"/>
        <v>no</v>
      </c>
    </row>
    <row r="54" spans="1:37" x14ac:dyDescent="0.2">
      <c r="A54" s="8"/>
      <c r="B54" s="30"/>
      <c r="C54" s="8"/>
      <c r="D54" s="8"/>
      <c r="E54" s="8"/>
      <c r="F54" s="8"/>
      <c r="G54" s="8"/>
      <c r="H54" s="8"/>
      <c r="I54" s="8"/>
      <c r="K54" s="16">
        <v>47</v>
      </c>
      <c r="L54" t="s">
        <v>536</v>
      </c>
      <c r="M54">
        <v>0</v>
      </c>
      <c r="N54">
        <v>0</v>
      </c>
      <c r="O54">
        <v>123</v>
      </c>
      <c r="P54">
        <v>0</v>
      </c>
      <c r="Q54">
        <v>0</v>
      </c>
      <c r="R54">
        <v>123</v>
      </c>
      <c r="S54">
        <v>0</v>
      </c>
      <c r="T54" s="8"/>
      <c r="U54" s="35">
        <v>47</v>
      </c>
      <c r="V54" s="8" t="s">
        <v>536</v>
      </c>
      <c r="W54" s="8">
        <v>0</v>
      </c>
      <c r="X54" s="8">
        <v>0</v>
      </c>
      <c r="Y54" s="8">
        <v>16320</v>
      </c>
      <c r="Z54" s="8">
        <v>0</v>
      </c>
      <c r="AA54" s="8">
        <v>0</v>
      </c>
      <c r="AB54" s="8">
        <v>16320</v>
      </c>
      <c r="AC54" s="8">
        <v>0</v>
      </c>
      <c r="AD54" s="8"/>
      <c r="AE54" s="16">
        <f t="shared" si="0"/>
        <v>0</v>
      </c>
      <c r="AF54" s="16">
        <f t="shared" si="1"/>
        <v>0</v>
      </c>
      <c r="AG54" s="16">
        <f t="shared" si="2"/>
        <v>0</v>
      </c>
      <c r="AH54" s="16">
        <f t="shared" si="3"/>
        <v>0</v>
      </c>
      <c r="AI54" s="16">
        <f t="shared" si="4"/>
        <v>1</v>
      </c>
      <c r="AJ54" s="16">
        <f t="shared" si="5"/>
        <v>0</v>
      </c>
      <c r="AK54" t="str">
        <f t="shared" si="6"/>
        <v>no</v>
      </c>
    </row>
    <row r="55" spans="1:37" x14ac:dyDescent="0.2">
      <c r="A55" s="8"/>
      <c r="B55" s="30"/>
      <c r="C55" s="8"/>
      <c r="D55" s="8"/>
      <c r="E55" s="8"/>
      <c r="F55" s="8"/>
      <c r="G55" s="8"/>
      <c r="H55" s="8"/>
      <c r="I55" s="8"/>
      <c r="K55" s="16">
        <v>48</v>
      </c>
      <c r="L55" t="s">
        <v>537</v>
      </c>
      <c r="M55">
        <v>0</v>
      </c>
      <c r="N55">
        <v>0</v>
      </c>
      <c r="O55">
        <v>123</v>
      </c>
      <c r="P55">
        <v>0</v>
      </c>
      <c r="Q55">
        <v>0</v>
      </c>
      <c r="R55">
        <v>123</v>
      </c>
      <c r="S55">
        <v>0</v>
      </c>
      <c r="T55" s="8"/>
      <c r="U55" s="35">
        <v>48</v>
      </c>
      <c r="V55" s="8" t="s">
        <v>537</v>
      </c>
      <c r="W55" s="8">
        <v>0</v>
      </c>
      <c r="X55" s="8">
        <v>0</v>
      </c>
      <c r="Y55" s="8">
        <v>16320</v>
      </c>
      <c r="Z55" s="8">
        <v>0</v>
      </c>
      <c r="AA55" s="8">
        <v>0</v>
      </c>
      <c r="AB55" s="8">
        <v>16320</v>
      </c>
      <c r="AC55" s="8">
        <v>0</v>
      </c>
      <c r="AD55" s="8"/>
      <c r="AE55" s="16">
        <f t="shared" si="0"/>
        <v>0</v>
      </c>
      <c r="AF55" s="16">
        <f t="shared" si="1"/>
        <v>0</v>
      </c>
      <c r="AG55" s="16">
        <f t="shared" si="2"/>
        <v>0</v>
      </c>
      <c r="AH55" s="16">
        <f t="shared" si="3"/>
        <v>0</v>
      </c>
      <c r="AI55" s="16">
        <f t="shared" si="4"/>
        <v>1</v>
      </c>
      <c r="AJ55" s="16">
        <f t="shared" si="5"/>
        <v>0</v>
      </c>
      <c r="AK55" t="str">
        <f t="shared" si="6"/>
        <v>no</v>
      </c>
    </row>
    <row r="56" spans="1:37" x14ac:dyDescent="0.2">
      <c r="A56" s="8"/>
      <c r="B56" s="30"/>
      <c r="C56" s="8"/>
      <c r="D56" s="8"/>
      <c r="E56" s="8"/>
      <c r="F56" s="8"/>
      <c r="G56" s="8"/>
      <c r="H56" s="8"/>
      <c r="I56" s="8"/>
      <c r="K56" s="16">
        <v>49</v>
      </c>
      <c r="L56" t="s">
        <v>538</v>
      </c>
      <c r="M56">
        <v>0</v>
      </c>
      <c r="N56">
        <v>0</v>
      </c>
      <c r="O56">
        <v>123</v>
      </c>
      <c r="P56">
        <v>0</v>
      </c>
      <c r="Q56">
        <v>0</v>
      </c>
      <c r="R56">
        <v>123</v>
      </c>
      <c r="S56">
        <v>0</v>
      </c>
      <c r="T56" s="8"/>
      <c r="U56" s="35">
        <v>49</v>
      </c>
      <c r="V56" s="8" t="s">
        <v>538</v>
      </c>
      <c r="W56" s="8">
        <v>1069</v>
      </c>
      <c r="X56" s="8">
        <v>0</v>
      </c>
      <c r="Y56" s="8">
        <v>15251</v>
      </c>
      <c r="Z56" s="8">
        <v>6.55</v>
      </c>
      <c r="AA56" s="8">
        <v>407</v>
      </c>
      <c r="AB56" s="8">
        <v>15913</v>
      </c>
      <c r="AC56" s="8">
        <v>2.4900000000000002</v>
      </c>
      <c r="AD56" s="8"/>
      <c r="AE56" s="16">
        <f t="shared" si="0"/>
        <v>0</v>
      </c>
      <c r="AF56" s="16">
        <f t="shared" si="1"/>
        <v>0</v>
      </c>
      <c r="AG56" s="16">
        <f t="shared" si="2"/>
        <v>1</v>
      </c>
      <c r="AH56" s="16">
        <f t="shared" si="3"/>
        <v>1</v>
      </c>
      <c r="AI56" s="16">
        <f t="shared" si="4"/>
        <v>0</v>
      </c>
      <c r="AJ56" s="16">
        <f t="shared" si="5"/>
        <v>1</v>
      </c>
      <c r="AK56" t="str">
        <f t="shared" si="6"/>
        <v>yes</v>
      </c>
    </row>
    <row r="57" spans="1:37" x14ac:dyDescent="0.2">
      <c r="A57" s="8"/>
      <c r="B57" s="30"/>
      <c r="C57" s="8"/>
      <c r="D57" s="8"/>
      <c r="E57" s="8"/>
      <c r="F57" s="8"/>
      <c r="G57" s="8"/>
      <c r="H57" s="8"/>
      <c r="I57" s="8"/>
      <c r="K57" s="16">
        <v>50</v>
      </c>
      <c r="L57" t="s">
        <v>539</v>
      </c>
      <c r="M57">
        <v>0</v>
      </c>
      <c r="N57">
        <v>0</v>
      </c>
      <c r="O57">
        <v>123</v>
      </c>
      <c r="P57">
        <v>0</v>
      </c>
      <c r="Q57">
        <v>0</v>
      </c>
      <c r="R57">
        <v>123</v>
      </c>
      <c r="S57">
        <v>0</v>
      </c>
      <c r="T57" s="8"/>
      <c r="U57" s="35">
        <v>50</v>
      </c>
      <c r="V57" s="8" t="s">
        <v>539</v>
      </c>
      <c r="W57" s="8">
        <v>1113</v>
      </c>
      <c r="X57" s="8">
        <v>0</v>
      </c>
      <c r="Y57" s="8">
        <v>15207</v>
      </c>
      <c r="Z57" s="8">
        <v>6.82</v>
      </c>
      <c r="AA57" s="8">
        <v>427</v>
      </c>
      <c r="AB57" s="8">
        <v>15893</v>
      </c>
      <c r="AC57" s="8">
        <v>2.62</v>
      </c>
      <c r="AD57" s="8"/>
      <c r="AE57" s="16">
        <f t="shared" si="0"/>
        <v>0</v>
      </c>
      <c r="AF57" s="16">
        <f t="shared" si="1"/>
        <v>0</v>
      </c>
      <c r="AG57" s="16">
        <f t="shared" si="2"/>
        <v>1</v>
      </c>
      <c r="AH57" s="16">
        <f t="shared" si="3"/>
        <v>1</v>
      </c>
      <c r="AI57" s="16">
        <f t="shared" si="4"/>
        <v>0</v>
      </c>
      <c r="AJ57" s="16">
        <f t="shared" si="5"/>
        <v>1</v>
      </c>
      <c r="AK57" t="str">
        <f t="shared" si="6"/>
        <v>yes</v>
      </c>
    </row>
    <row r="58" spans="1:37" x14ac:dyDescent="0.2">
      <c r="A58" s="8"/>
      <c r="B58" s="30"/>
      <c r="C58" s="8"/>
      <c r="D58" s="8"/>
      <c r="E58" s="8"/>
      <c r="F58" s="8"/>
      <c r="G58" s="8"/>
      <c r="H58" s="8"/>
      <c r="I58" s="8"/>
      <c r="K58" s="16">
        <v>51</v>
      </c>
      <c r="L58" t="s">
        <v>540</v>
      </c>
      <c r="M58">
        <v>0</v>
      </c>
      <c r="N58">
        <v>0</v>
      </c>
      <c r="O58">
        <v>123</v>
      </c>
      <c r="P58">
        <v>0</v>
      </c>
      <c r="Q58">
        <v>0</v>
      </c>
      <c r="R58">
        <v>123</v>
      </c>
      <c r="S58">
        <v>0</v>
      </c>
      <c r="T58" s="8"/>
      <c r="U58" s="35">
        <v>51</v>
      </c>
      <c r="V58" s="8" t="s">
        <v>540</v>
      </c>
      <c r="W58" s="8">
        <v>0</v>
      </c>
      <c r="X58" s="8">
        <v>0</v>
      </c>
      <c r="Y58" s="8">
        <v>16320</v>
      </c>
      <c r="Z58" s="8">
        <v>0</v>
      </c>
      <c r="AA58" s="8">
        <v>0</v>
      </c>
      <c r="AB58" s="8">
        <v>16320</v>
      </c>
      <c r="AC58" s="8">
        <v>0</v>
      </c>
      <c r="AD58" s="8"/>
      <c r="AE58" s="16">
        <f t="shared" si="0"/>
        <v>0</v>
      </c>
      <c r="AF58" s="16">
        <f t="shared" si="1"/>
        <v>0</v>
      </c>
      <c r="AG58" s="16">
        <f t="shared" si="2"/>
        <v>0</v>
      </c>
      <c r="AH58" s="16">
        <f t="shared" si="3"/>
        <v>0</v>
      </c>
      <c r="AI58" s="16">
        <f t="shared" si="4"/>
        <v>1</v>
      </c>
      <c r="AJ58" s="16">
        <f t="shared" si="5"/>
        <v>0</v>
      </c>
      <c r="AK58" t="str">
        <f t="shared" si="6"/>
        <v>no</v>
      </c>
    </row>
    <row r="59" spans="1:37" x14ac:dyDescent="0.2">
      <c r="A59" s="8"/>
      <c r="B59" s="8"/>
      <c r="C59" s="8"/>
      <c r="D59" s="8"/>
      <c r="E59" s="8"/>
      <c r="F59" s="8"/>
      <c r="G59" s="8"/>
      <c r="H59" s="8"/>
      <c r="I59" s="8"/>
      <c r="K59" s="16">
        <v>52</v>
      </c>
      <c r="L59" t="s">
        <v>541</v>
      </c>
      <c r="M59">
        <v>0</v>
      </c>
      <c r="N59">
        <v>0</v>
      </c>
      <c r="O59">
        <v>123</v>
      </c>
      <c r="P59">
        <v>0</v>
      </c>
      <c r="Q59">
        <v>0</v>
      </c>
      <c r="R59">
        <v>123</v>
      </c>
      <c r="S59">
        <v>0</v>
      </c>
      <c r="T59" s="8"/>
      <c r="U59" s="35">
        <v>52</v>
      </c>
      <c r="V59" s="8" t="s">
        <v>541</v>
      </c>
      <c r="W59" s="8">
        <v>0</v>
      </c>
      <c r="X59" s="8">
        <v>0</v>
      </c>
      <c r="Y59" s="8">
        <v>16320</v>
      </c>
      <c r="Z59" s="8">
        <v>0</v>
      </c>
      <c r="AA59" s="8">
        <v>0</v>
      </c>
      <c r="AB59" s="8">
        <v>16320</v>
      </c>
      <c r="AC59" s="8">
        <v>0</v>
      </c>
      <c r="AD59" s="8"/>
      <c r="AE59" s="16">
        <f t="shared" si="0"/>
        <v>0</v>
      </c>
      <c r="AF59" s="16">
        <f t="shared" si="1"/>
        <v>0</v>
      </c>
      <c r="AG59" s="16">
        <f t="shared" si="2"/>
        <v>0</v>
      </c>
      <c r="AH59" s="16">
        <f t="shared" si="3"/>
        <v>0</v>
      </c>
      <c r="AI59" s="16">
        <f t="shared" si="4"/>
        <v>1</v>
      </c>
      <c r="AJ59" s="16">
        <f t="shared" si="5"/>
        <v>0</v>
      </c>
      <c r="AK59" t="str">
        <f t="shared" si="6"/>
        <v>no</v>
      </c>
    </row>
    <row r="60" spans="1:37" x14ac:dyDescent="0.2">
      <c r="A60" s="8"/>
      <c r="B60" s="8"/>
      <c r="C60" s="8"/>
      <c r="D60" s="8"/>
      <c r="E60" s="8"/>
      <c r="F60" s="8"/>
      <c r="G60" s="8"/>
      <c r="H60" s="8"/>
      <c r="I60" s="8"/>
      <c r="K60" s="16">
        <v>53</v>
      </c>
      <c r="L60" t="s">
        <v>542</v>
      </c>
      <c r="M60">
        <v>105</v>
      </c>
      <c r="N60">
        <v>0</v>
      </c>
      <c r="O60">
        <v>18</v>
      </c>
      <c r="P60">
        <v>85.37</v>
      </c>
      <c r="Q60">
        <v>100</v>
      </c>
      <c r="R60">
        <v>23</v>
      </c>
      <c r="S60">
        <v>81.3</v>
      </c>
      <c r="T60" s="8"/>
      <c r="U60" s="35">
        <v>53</v>
      </c>
      <c r="V60" s="8" t="s">
        <v>542</v>
      </c>
      <c r="W60" s="8">
        <v>0</v>
      </c>
      <c r="X60" s="8">
        <v>0</v>
      </c>
      <c r="Y60" s="8">
        <v>16320</v>
      </c>
      <c r="Z60" s="8">
        <v>0</v>
      </c>
      <c r="AA60" s="8">
        <v>0</v>
      </c>
      <c r="AB60" s="8">
        <v>16320</v>
      </c>
      <c r="AC60" s="8">
        <v>0</v>
      </c>
      <c r="AD60" s="8"/>
      <c r="AE60" s="16">
        <f t="shared" si="0"/>
        <v>0</v>
      </c>
      <c r="AF60" s="16">
        <f t="shared" si="1"/>
        <v>1</v>
      </c>
      <c r="AG60" s="16">
        <f t="shared" si="2"/>
        <v>0</v>
      </c>
      <c r="AH60" s="16">
        <f t="shared" si="3"/>
        <v>1</v>
      </c>
      <c r="AI60" s="16">
        <f t="shared" si="4"/>
        <v>0</v>
      </c>
      <c r="AJ60" s="16">
        <f t="shared" si="5"/>
        <v>1</v>
      </c>
      <c r="AK60" t="str">
        <f t="shared" si="6"/>
        <v>yes</v>
      </c>
    </row>
    <row r="61" spans="1:37" x14ac:dyDescent="0.2">
      <c r="A61" s="8"/>
      <c r="B61" s="8"/>
      <c r="C61" s="8"/>
      <c r="D61" s="8"/>
      <c r="E61" s="8"/>
      <c r="F61" s="8"/>
      <c r="G61" s="8"/>
      <c r="H61" s="8"/>
      <c r="I61" s="8"/>
      <c r="K61" s="16">
        <v>54</v>
      </c>
      <c r="L61" t="s">
        <v>543</v>
      </c>
      <c r="M61">
        <v>0</v>
      </c>
      <c r="N61">
        <v>0</v>
      </c>
      <c r="O61">
        <v>123</v>
      </c>
      <c r="P61">
        <v>0</v>
      </c>
      <c r="Q61">
        <v>0</v>
      </c>
      <c r="R61">
        <v>123</v>
      </c>
      <c r="S61">
        <v>0</v>
      </c>
      <c r="T61" s="8"/>
      <c r="U61" s="35">
        <v>54</v>
      </c>
      <c r="V61" s="8" t="s">
        <v>543</v>
      </c>
      <c r="W61" s="8">
        <v>0</v>
      </c>
      <c r="X61" s="8">
        <v>0</v>
      </c>
      <c r="Y61" s="8">
        <v>16320</v>
      </c>
      <c r="Z61" s="8">
        <v>0</v>
      </c>
      <c r="AA61" s="8">
        <v>0</v>
      </c>
      <c r="AB61" s="8">
        <v>16320</v>
      </c>
      <c r="AC61" s="8">
        <v>0</v>
      </c>
      <c r="AD61" s="8"/>
      <c r="AE61" s="16">
        <f t="shared" si="0"/>
        <v>0</v>
      </c>
      <c r="AF61" s="16">
        <f t="shared" si="1"/>
        <v>0</v>
      </c>
      <c r="AG61" s="16">
        <f t="shared" si="2"/>
        <v>0</v>
      </c>
      <c r="AH61" s="16">
        <f t="shared" si="3"/>
        <v>0</v>
      </c>
      <c r="AI61" s="16">
        <f t="shared" si="4"/>
        <v>1</v>
      </c>
      <c r="AJ61" s="16">
        <f t="shared" si="5"/>
        <v>0</v>
      </c>
      <c r="AK61" t="str">
        <f t="shared" si="6"/>
        <v>no</v>
      </c>
    </row>
    <row r="62" spans="1:37" x14ac:dyDescent="0.2">
      <c r="A62" s="8"/>
      <c r="B62" s="8"/>
      <c r="C62" s="8"/>
      <c r="D62" s="8"/>
      <c r="E62" s="8"/>
      <c r="F62" s="8"/>
      <c r="G62" s="8"/>
      <c r="H62" s="8"/>
      <c r="I62" s="8"/>
      <c r="K62" s="16">
        <v>55</v>
      </c>
      <c r="L62" t="s">
        <v>544</v>
      </c>
      <c r="M62">
        <v>0</v>
      </c>
      <c r="N62">
        <v>0</v>
      </c>
      <c r="O62">
        <v>123</v>
      </c>
      <c r="P62">
        <v>0</v>
      </c>
      <c r="Q62">
        <v>0</v>
      </c>
      <c r="R62">
        <v>123</v>
      </c>
      <c r="S62">
        <v>0</v>
      </c>
      <c r="T62" s="8"/>
      <c r="U62" s="35">
        <v>55</v>
      </c>
      <c r="V62" s="8" t="s">
        <v>544</v>
      </c>
      <c r="W62" s="8">
        <v>0</v>
      </c>
      <c r="X62" s="8">
        <v>0</v>
      </c>
      <c r="Y62" s="8">
        <v>16320</v>
      </c>
      <c r="Z62" s="8">
        <v>0</v>
      </c>
      <c r="AA62" s="8">
        <v>0</v>
      </c>
      <c r="AB62" s="8">
        <v>16320</v>
      </c>
      <c r="AC62" s="8">
        <v>0</v>
      </c>
      <c r="AD62" s="8"/>
      <c r="AE62" s="16">
        <f t="shared" si="0"/>
        <v>0</v>
      </c>
      <c r="AF62" s="16">
        <f t="shared" si="1"/>
        <v>0</v>
      </c>
      <c r="AG62" s="16">
        <f t="shared" si="2"/>
        <v>0</v>
      </c>
      <c r="AH62" s="16">
        <f t="shared" si="3"/>
        <v>0</v>
      </c>
      <c r="AI62" s="16">
        <f t="shared" si="4"/>
        <v>1</v>
      </c>
      <c r="AJ62" s="16">
        <f t="shared" si="5"/>
        <v>0</v>
      </c>
      <c r="AK62" t="str">
        <f t="shared" si="6"/>
        <v>no</v>
      </c>
    </row>
    <row r="63" spans="1:37" x14ac:dyDescent="0.2">
      <c r="A63" s="8"/>
      <c r="B63" s="8"/>
      <c r="C63" s="8"/>
      <c r="D63" s="8"/>
      <c r="E63" s="8"/>
      <c r="F63" s="8"/>
      <c r="G63" s="8"/>
      <c r="H63" s="8"/>
      <c r="I63" s="8"/>
      <c r="K63" s="16">
        <v>56</v>
      </c>
      <c r="L63" t="s">
        <v>545</v>
      </c>
      <c r="M63">
        <v>0</v>
      </c>
      <c r="N63">
        <v>0</v>
      </c>
      <c r="O63">
        <v>123</v>
      </c>
      <c r="P63">
        <v>0</v>
      </c>
      <c r="Q63">
        <v>0</v>
      </c>
      <c r="R63">
        <v>123</v>
      </c>
      <c r="S63">
        <v>0</v>
      </c>
      <c r="T63" s="8"/>
      <c r="U63" s="35">
        <v>56</v>
      </c>
      <c r="V63" s="8" t="s">
        <v>545</v>
      </c>
      <c r="W63" s="8">
        <v>0</v>
      </c>
      <c r="X63" s="8">
        <v>0</v>
      </c>
      <c r="Y63" s="8">
        <v>16320</v>
      </c>
      <c r="Z63" s="8">
        <v>0</v>
      </c>
      <c r="AA63" s="8">
        <v>0</v>
      </c>
      <c r="AB63" s="8">
        <v>16320</v>
      </c>
      <c r="AC63" s="8">
        <v>0</v>
      </c>
      <c r="AD63" s="8"/>
      <c r="AE63" s="16">
        <f t="shared" si="0"/>
        <v>0</v>
      </c>
      <c r="AF63" s="16">
        <f t="shared" si="1"/>
        <v>0</v>
      </c>
      <c r="AG63" s="16">
        <f t="shared" si="2"/>
        <v>0</v>
      </c>
      <c r="AH63" s="16">
        <f t="shared" si="3"/>
        <v>0</v>
      </c>
      <c r="AI63" s="16">
        <f t="shared" si="4"/>
        <v>1</v>
      </c>
      <c r="AJ63" s="16">
        <f t="shared" si="5"/>
        <v>0</v>
      </c>
      <c r="AK63" t="str">
        <f t="shared" si="6"/>
        <v>no</v>
      </c>
    </row>
    <row r="64" spans="1:37" x14ac:dyDescent="0.2">
      <c r="A64" s="8"/>
      <c r="B64" s="8"/>
      <c r="C64" s="8"/>
      <c r="D64" s="8"/>
      <c r="E64" s="8"/>
      <c r="F64" s="8"/>
      <c r="G64" s="8"/>
      <c r="H64" s="8"/>
      <c r="I64" s="8"/>
      <c r="K64" s="16">
        <v>57</v>
      </c>
      <c r="L64" t="s">
        <v>546</v>
      </c>
      <c r="M64">
        <v>0</v>
      </c>
      <c r="N64">
        <v>0</v>
      </c>
      <c r="O64">
        <v>123</v>
      </c>
      <c r="P64">
        <v>0</v>
      </c>
      <c r="Q64">
        <v>0</v>
      </c>
      <c r="R64">
        <v>123</v>
      </c>
      <c r="S64">
        <v>0</v>
      </c>
      <c r="T64" s="8"/>
      <c r="U64" s="35">
        <v>57</v>
      </c>
      <c r="V64" s="8" t="s">
        <v>546</v>
      </c>
      <c r="W64" s="8">
        <v>0</v>
      </c>
      <c r="X64" s="8">
        <v>0</v>
      </c>
      <c r="Y64" s="8">
        <v>16320</v>
      </c>
      <c r="Z64" s="8">
        <v>0</v>
      </c>
      <c r="AA64" s="8">
        <v>0</v>
      </c>
      <c r="AB64" s="8">
        <v>16320</v>
      </c>
      <c r="AC64" s="8">
        <v>0</v>
      </c>
      <c r="AD64" s="8"/>
      <c r="AE64" s="16">
        <f t="shared" si="0"/>
        <v>0</v>
      </c>
      <c r="AF64" s="16">
        <f t="shared" si="1"/>
        <v>0</v>
      </c>
      <c r="AG64" s="16">
        <f t="shared" si="2"/>
        <v>0</v>
      </c>
      <c r="AH64" s="16">
        <f t="shared" si="3"/>
        <v>0</v>
      </c>
      <c r="AI64" s="16">
        <f t="shared" si="4"/>
        <v>1</v>
      </c>
      <c r="AJ64" s="16">
        <f t="shared" si="5"/>
        <v>0</v>
      </c>
      <c r="AK64" t="str">
        <f t="shared" si="6"/>
        <v>no</v>
      </c>
    </row>
    <row r="65" spans="1:37" x14ac:dyDescent="0.2">
      <c r="A65" s="8"/>
      <c r="B65" s="8"/>
      <c r="C65" s="8"/>
      <c r="D65" s="8"/>
      <c r="E65" s="8"/>
      <c r="F65" s="8"/>
      <c r="G65" s="8"/>
      <c r="H65" s="8"/>
      <c r="I65" s="8"/>
      <c r="K65" s="16">
        <v>58</v>
      </c>
      <c r="L65" t="s">
        <v>547</v>
      </c>
      <c r="M65">
        <v>0</v>
      </c>
      <c r="N65">
        <v>0</v>
      </c>
      <c r="O65">
        <v>123</v>
      </c>
      <c r="P65">
        <v>0</v>
      </c>
      <c r="Q65">
        <v>0</v>
      </c>
      <c r="R65">
        <v>123</v>
      </c>
      <c r="S65">
        <v>0</v>
      </c>
      <c r="T65" s="8"/>
      <c r="U65" s="35">
        <v>58</v>
      </c>
      <c r="V65" s="8" t="s">
        <v>547</v>
      </c>
      <c r="W65" s="8">
        <v>0</v>
      </c>
      <c r="X65" s="8">
        <v>0</v>
      </c>
      <c r="Y65" s="8">
        <v>16320</v>
      </c>
      <c r="Z65" s="8">
        <v>0</v>
      </c>
      <c r="AA65" s="8">
        <v>0</v>
      </c>
      <c r="AB65" s="8">
        <v>16320</v>
      </c>
      <c r="AC65" s="8">
        <v>0</v>
      </c>
      <c r="AD65" s="8"/>
      <c r="AE65" s="16">
        <f t="shared" si="0"/>
        <v>0</v>
      </c>
      <c r="AF65" s="16">
        <f t="shared" si="1"/>
        <v>0</v>
      </c>
      <c r="AG65" s="16">
        <f t="shared" si="2"/>
        <v>0</v>
      </c>
      <c r="AH65" s="16">
        <f t="shared" si="3"/>
        <v>0</v>
      </c>
      <c r="AI65" s="16">
        <f t="shared" si="4"/>
        <v>1</v>
      </c>
      <c r="AJ65" s="16">
        <f t="shared" si="5"/>
        <v>0</v>
      </c>
      <c r="AK65" t="str">
        <f t="shared" si="6"/>
        <v>no</v>
      </c>
    </row>
    <row r="66" spans="1:37" x14ac:dyDescent="0.2">
      <c r="A66" s="8"/>
      <c r="B66" s="8"/>
      <c r="C66" s="8"/>
      <c r="D66" s="8"/>
      <c r="E66" s="8"/>
      <c r="F66" s="8"/>
      <c r="G66" s="8"/>
      <c r="H66" s="8"/>
      <c r="I66" s="8"/>
      <c r="K66" s="16">
        <v>59</v>
      </c>
      <c r="L66" t="s">
        <v>548</v>
      </c>
      <c r="M66">
        <v>0</v>
      </c>
      <c r="N66">
        <v>0</v>
      </c>
      <c r="O66">
        <v>123</v>
      </c>
      <c r="P66">
        <v>0</v>
      </c>
      <c r="Q66">
        <v>0</v>
      </c>
      <c r="R66">
        <v>123</v>
      </c>
      <c r="S66">
        <v>0</v>
      </c>
      <c r="T66" s="8"/>
      <c r="U66" s="35">
        <v>59</v>
      </c>
      <c r="V66" s="8" t="s">
        <v>548</v>
      </c>
      <c r="W66" s="8">
        <v>0</v>
      </c>
      <c r="X66" s="8">
        <v>0</v>
      </c>
      <c r="Y66" s="8">
        <v>16320</v>
      </c>
      <c r="Z66" s="8">
        <v>0</v>
      </c>
      <c r="AA66" s="8">
        <v>0</v>
      </c>
      <c r="AB66" s="8">
        <v>16320</v>
      </c>
      <c r="AC66" s="8">
        <v>0</v>
      </c>
      <c r="AD66" s="8"/>
      <c r="AE66" s="16">
        <f t="shared" si="0"/>
        <v>0</v>
      </c>
      <c r="AF66" s="16">
        <f t="shared" si="1"/>
        <v>0</v>
      </c>
      <c r="AG66" s="16">
        <f t="shared" si="2"/>
        <v>0</v>
      </c>
      <c r="AH66" s="16">
        <f t="shared" si="3"/>
        <v>0</v>
      </c>
      <c r="AI66" s="16">
        <f t="shared" si="4"/>
        <v>1</v>
      </c>
      <c r="AJ66" s="16">
        <f t="shared" si="5"/>
        <v>0</v>
      </c>
      <c r="AK66" t="str">
        <f t="shared" si="6"/>
        <v>no</v>
      </c>
    </row>
    <row r="67" spans="1:37" x14ac:dyDescent="0.2">
      <c r="A67" s="8"/>
      <c r="B67" s="8"/>
      <c r="C67" s="8"/>
      <c r="D67" s="8"/>
      <c r="E67" s="8"/>
      <c r="F67" s="8"/>
      <c r="G67" s="8"/>
      <c r="H67" s="8"/>
      <c r="I67" s="8"/>
      <c r="K67" s="16">
        <v>60</v>
      </c>
      <c r="L67" t="s">
        <v>549</v>
      </c>
      <c r="M67">
        <v>0</v>
      </c>
      <c r="N67">
        <v>0</v>
      </c>
      <c r="O67">
        <v>123</v>
      </c>
      <c r="P67">
        <v>0</v>
      </c>
      <c r="Q67">
        <v>0</v>
      </c>
      <c r="R67">
        <v>123</v>
      </c>
      <c r="S67">
        <v>0</v>
      </c>
      <c r="T67" s="8"/>
      <c r="U67" s="35">
        <v>60</v>
      </c>
      <c r="V67" s="8" t="s">
        <v>549</v>
      </c>
      <c r="W67" s="8">
        <v>0</v>
      </c>
      <c r="X67" s="8">
        <v>0</v>
      </c>
      <c r="Y67" s="8">
        <v>16320</v>
      </c>
      <c r="Z67" s="8">
        <v>0</v>
      </c>
      <c r="AA67" s="8">
        <v>0</v>
      </c>
      <c r="AB67" s="8">
        <v>16320</v>
      </c>
      <c r="AC67" s="8">
        <v>0</v>
      </c>
      <c r="AD67" s="8"/>
      <c r="AE67" s="16">
        <f t="shared" si="0"/>
        <v>0</v>
      </c>
      <c r="AF67" s="16">
        <f t="shared" si="1"/>
        <v>0</v>
      </c>
      <c r="AG67" s="16">
        <f t="shared" si="2"/>
        <v>0</v>
      </c>
      <c r="AH67" s="16">
        <f t="shared" si="3"/>
        <v>0</v>
      </c>
      <c r="AI67" s="16">
        <f t="shared" si="4"/>
        <v>1</v>
      </c>
      <c r="AJ67" s="16">
        <f t="shared" si="5"/>
        <v>0</v>
      </c>
      <c r="AK67" t="str">
        <f t="shared" si="6"/>
        <v>no</v>
      </c>
    </row>
    <row r="68" spans="1:37" x14ac:dyDescent="0.2">
      <c r="A68" s="8"/>
      <c r="B68" s="8"/>
      <c r="C68" s="8"/>
      <c r="D68" s="8"/>
      <c r="E68" s="8"/>
      <c r="F68" s="8"/>
      <c r="G68" s="8"/>
      <c r="H68" s="8"/>
      <c r="I68" s="8"/>
      <c r="K68" s="16">
        <v>61</v>
      </c>
      <c r="L68" t="s">
        <v>550</v>
      </c>
      <c r="M68">
        <v>0</v>
      </c>
      <c r="N68">
        <v>0</v>
      </c>
      <c r="O68">
        <v>123</v>
      </c>
      <c r="P68">
        <v>0</v>
      </c>
      <c r="Q68">
        <v>0</v>
      </c>
      <c r="R68">
        <v>123</v>
      </c>
      <c r="S68">
        <v>0</v>
      </c>
      <c r="T68" s="8"/>
      <c r="U68" s="35">
        <v>61</v>
      </c>
      <c r="V68" s="8" t="s">
        <v>550</v>
      </c>
      <c r="W68" s="8">
        <v>0</v>
      </c>
      <c r="X68" s="8">
        <v>0</v>
      </c>
      <c r="Y68" s="8">
        <v>16320</v>
      </c>
      <c r="Z68" s="8">
        <v>0</v>
      </c>
      <c r="AA68" s="8">
        <v>0</v>
      </c>
      <c r="AB68" s="8">
        <v>16320</v>
      </c>
      <c r="AC68" s="8">
        <v>0</v>
      </c>
      <c r="AD68" s="8"/>
      <c r="AE68" s="16">
        <f t="shared" si="0"/>
        <v>0</v>
      </c>
      <c r="AF68" s="16">
        <f t="shared" si="1"/>
        <v>0</v>
      </c>
      <c r="AG68" s="16">
        <f t="shared" si="2"/>
        <v>0</v>
      </c>
      <c r="AH68" s="16">
        <f t="shared" si="3"/>
        <v>0</v>
      </c>
      <c r="AI68" s="16">
        <f t="shared" si="4"/>
        <v>1</v>
      </c>
      <c r="AJ68" s="16">
        <f t="shared" si="5"/>
        <v>0</v>
      </c>
      <c r="AK68" t="str">
        <f t="shared" si="6"/>
        <v>no</v>
      </c>
    </row>
    <row r="69" spans="1:37" x14ac:dyDescent="0.2">
      <c r="A69" s="8"/>
      <c r="B69" s="8"/>
      <c r="C69" s="8"/>
      <c r="D69" s="8"/>
      <c r="E69" s="8"/>
      <c r="F69" s="8"/>
      <c r="G69" s="8"/>
      <c r="H69" s="8"/>
      <c r="I69" s="8"/>
      <c r="K69" s="16">
        <v>62</v>
      </c>
      <c r="L69" t="s">
        <v>551</v>
      </c>
      <c r="M69">
        <v>0</v>
      </c>
      <c r="N69">
        <v>0</v>
      </c>
      <c r="O69">
        <v>123</v>
      </c>
      <c r="P69">
        <v>0</v>
      </c>
      <c r="Q69">
        <v>0</v>
      </c>
      <c r="R69">
        <v>123</v>
      </c>
      <c r="S69">
        <v>0</v>
      </c>
      <c r="T69" s="8"/>
      <c r="U69" s="35">
        <v>62</v>
      </c>
      <c r="V69" s="8" t="s">
        <v>551</v>
      </c>
      <c r="W69" s="8">
        <v>0</v>
      </c>
      <c r="X69" s="8">
        <v>0</v>
      </c>
      <c r="Y69" s="8">
        <v>16320</v>
      </c>
      <c r="Z69" s="8">
        <v>0</v>
      </c>
      <c r="AA69" s="8">
        <v>0</v>
      </c>
      <c r="AB69" s="8">
        <v>16320</v>
      </c>
      <c r="AC69" s="8">
        <v>0</v>
      </c>
      <c r="AD69" s="8"/>
      <c r="AE69" s="16">
        <f t="shared" si="0"/>
        <v>0</v>
      </c>
      <c r="AF69" s="16">
        <f t="shared" si="1"/>
        <v>0</v>
      </c>
      <c r="AG69" s="16">
        <f t="shared" si="2"/>
        <v>0</v>
      </c>
      <c r="AH69" s="16">
        <f t="shared" si="3"/>
        <v>0</v>
      </c>
      <c r="AI69" s="16">
        <f t="shared" si="4"/>
        <v>1</v>
      </c>
      <c r="AJ69" s="16">
        <f t="shared" si="5"/>
        <v>0</v>
      </c>
      <c r="AK69" t="str">
        <f t="shared" si="6"/>
        <v>no</v>
      </c>
    </row>
    <row r="70" spans="1:37" x14ac:dyDescent="0.2">
      <c r="A70" s="8"/>
      <c r="B70" s="8"/>
      <c r="C70" s="8"/>
      <c r="D70" s="8"/>
      <c r="E70" s="8"/>
      <c r="F70" s="8"/>
      <c r="G70" s="8"/>
      <c r="H70" s="8"/>
      <c r="I70" s="8"/>
      <c r="K70" s="16">
        <v>63</v>
      </c>
      <c r="L70" t="s">
        <v>552</v>
      </c>
      <c r="M70">
        <v>0</v>
      </c>
      <c r="N70">
        <v>0</v>
      </c>
      <c r="O70">
        <v>123</v>
      </c>
      <c r="P70">
        <v>0</v>
      </c>
      <c r="Q70">
        <v>0</v>
      </c>
      <c r="R70">
        <v>123</v>
      </c>
      <c r="S70">
        <v>0</v>
      </c>
      <c r="T70" s="8"/>
      <c r="U70" s="35">
        <v>63</v>
      </c>
      <c r="V70" s="8" t="s">
        <v>552</v>
      </c>
      <c r="W70" s="8">
        <v>0</v>
      </c>
      <c r="X70" s="8">
        <v>0</v>
      </c>
      <c r="Y70" s="8">
        <v>16320</v>
      </c>
      <c r="Z70" s="8">
        <v>0</v>
      </c>
      <c r="AA70" s="8">
        <v>0</v>
      </c>
      <c r="AB70" s="8">
        <v>16320</v>
      </c>
      <c r="AC70" s="8">
        <v>0</v>
      </c>
      <c r="AD70" s="8"/>
      <c r="AE70" s="16">
        <f t="shared" si="0"/>
        <v>0</v>
      </c>
      <c r="AF70" s="16">
        <f t="shared" si="1"/>
        <v>0</v>
      </c>
      <c r="AG70" s="16">
        <f t="shared" si="2"/>
        <v>0</v>
      </c>
      <c r="AH70" s="16">
        <f t="shared" si="3"/>
        <v>0</v>
      </c>
      <c r="AI70" s="16">
        <f t="shared" si="4"/>
        <v>1</v>
      </c>
      <c r="AJ70" s="16">
        <f t="shared" si="5"/>
        <v>0</v>
      </c>
      <c r="AK70" t="str">
        <f t="shared" si="6"/>
        <v>no</v>
      </c>
    </row>
    <row r="71" spans="1:37" x14ac:dyDescent="0.2">
      <c r="A71" s="8"/>
      <c r="B71" s="8"/>
      <c r="C71" s="8"/>
      <c r="D71" s="8"/>
      <c r="E71" s="8"/>
      <c r="F71" s="8"/>
      <c r="G71" s="8"/>
      <c r="H71" s="8"/>
      <c r="I71" s="8"/>
      <c r="K71" s="16">
        <v>64</v>
      </c>
      <c r="L71" t="s">
        <v>553</v>
      </c>
      <c r="M71">
        <v>0</v>
      </c>
      <c r="N71">
        <v>0</v>
      </c>
      <c r="O71">
        <v>123</v>
      </c>
      <c r="P71">
        <v>0</v>
      </c>
      <c r="Q71">
        <v>0</v>
      </c>
      <c r="R71">
        <v>123</v>
      </c>
      <c r="S71">
        <v>0</v>
      </c>
      <c r="T71" s="8"/>
      <c r="U71" s="35">
        <v>64</v>
      </c>
      <c r="V71" s="8" t="s">
        <v>553</v>
      </c>
      <c r="W71" s="8">
        <v>0</v>
      </c>
      <c r="X71" s="8">
        <v>0</v>
      </c>
      <c r="Y71" s="8">
        <v>16320</v>
      </c>
      <c r="Z71" s="8">
        <v>0</v>
      </c>
      <c r="AA71" s="8">
        <v>0</v>
      </c>
      <c r="AB71" s="8">
        <v>16320</v>
      </c>
      <c r="AC71" s="8">
        <v>0</v>
      </c>
      <c r="AD71" s="8"/>
      <c r="AE71" s="16">
        <f t="shared" si="0"/>
        <v>0</v>
      </c>
      <c r="AF71" s="16">
        <f t="shared" si="1"/>
        <v>0</v>
      </c>
      <c r="AG71" s="16">
        <f t="shared" si="2"/>
        <v>0</v>
      </c>
      <c r="AH71" s="16">
        <f t="shared" si="3"/>
        <v>0</v>
      </c>
      <c r="AI71" s="16">
        <f t="shared" si="4"/>
        <v>1</v>
      </c>
      <c r="AJ71" s="16">
        <f t="shared" si="5"/>
        <v>0</v>
      </c>
      <c r="AK71" t="str">
        <f t="shared" si="6"/>
        <v>no</v>
      </c>
    </row>
    <row r="72" spans="1:37" x14ac:dyDescent="0.2">
      <c r="A72" s="8"/>
      <c r="B72" s="8"/>
      <c r="C72" s="8"/>
      <c r="D72" s="8"/>
      <c r="E72" s="8"/>
      <c r="F72" s="8"/>
      <c r="G72" s="8"/>
      <c r="H72" s="8"/>
      <c r="I72" s="8"/>
      <c r="K72" s="16">
        <v>65</v>
      </c>
      <c r="L72" t="s">
        <v>554</v>
      </c>
      <c r="M72">
        <v>0</v>
      </c>
      <c r="N72">
        <v>0</v>
      </c>
      <c r="O72">
        <v>123</v>
      </c>
      <c r="P72">
        <v>0</v>
      </c>
      <c r="Q72">
        <v>0</v>
      </c>
      <c r="R72">
        <v>123</v>
      </c>
      <c r="S72">
        <v>0</v>
      </c>
      <c r="T72" s="8"/>
      <c r="U72" s="35">
        <v>65</v>
      </c>
      <c r="V72" s="8" t="s">
        <v>554</v>
      </c>
      <c r="W72" s="8">
        <v>0</v>
      </c>
      <c r="X72" s="8">
        <v>0</v>
      </c>
      <c r="Y72" s="8">
        <v>16320</v>
      </c>
      <c r="Z72" s="8">
        <v>0</v>
      </c>
      <c r="AA72" s="8">
        <v>0</v>
      </c>
      <c r="AB72" s="8">
        <v>16320</v>
      </c>
      <c r="AC72" s="8">
        <v>0</v>
      </c>
      <c r="AD72" s="8"/>
      <c r="AE72" s="16">
        <f t="shared" si="0"/>
        <v>0</v>
      </c>
      <c r="AF72" s="16">
        <f t="shared" si="1"/>
        <v>0</v>
      </c>
      <c r="AG72" s="16">
        <f t="shared" si="2"/>
        <v>0</v>
      </c>
      <c r="AH72" s="16">
        <f t="shared" si="3"/>
        <v>0</v>
      </c>
      <c r="AI72" s="16">
        <f t="shared" si="4"/>
        <v>1</v>
      </c>
      <c r="AJ72" s="16">
        <f t="shared" si="5"/>
        <v>0</v>
      </c>
      <c r="AK72" t="str">
        <f t="shared" si="6"/>
        <v>no</v>
      </c>
    </row>
    <row r="73" spans="1:37" x14ac:dyDescent="0.2">
      <c r="A73" s="8"/>
      <c r="B73" s="8"/>
      <c r="C73" s="8"/>
      <c r="D73" s="8"/>
      <c r="E73" s="8"/>
      <c r="F73" s="8"/>
      <c r="G73" s="8"/>
      <c r="H73" s="8"/>
      <c r="I73" s="8"/>
      <c r="K73" s="16">
        <v>66</v>
      </c>
      <c r="L73" t="s">
        <v>555</v>
      </c>
      <c r="M73">
        <v>75</v>
      </c>
      <c r="N73">
        <v>0</v>
      </c>
      <c r="O73">
        <v>48</v>
      </c>
      <c r="P73">
        <v>60.98</v>
      </c>
      <c r="Q73">
        <v>70</v>
      </c>
      <c r="R73">
        <v>53</v>
      </c>
      <c r="S73">
        <v>56.91</v>
      </c>
      <c r="T73" s="8"/>
      <c r="U73" s="35">
        <v>66</v>
      </c>
      <c r="V73" s="8" t="s">
        <v>555</v>
      </c>
      <c r="W73" s="8">
        <v>0</v>
      </c>
      <c r="X73" s="8">
        <v>0</v>
      </c>
      <c r="Y73" s="8">
        <v>16320</v>
      </c>
      <c r="Z73" s="8">
        <v>0</v>
      </c>
      <c r="AA73" s="8">
        <v>0</v>
      </c>
      <c r="AB73" s="8">
        <v>16320</v>
      </c>
      <c r="AC73" s="8">
        <v>0</v>
      </c>
      <c r="AD73" s="8"/>
      <c r="AE73" s="16">
        <f t="shared" ref="AE73:AE136" si="7">IF(G73=0,0,1)</f>
        <v>0</v>
      </c>
      <c r="AF73" s="16">
        <f t="shared" ref="AF73:AF136" si="8">IF(Q73=0,0,1)</f>
        <v>1</v>
      </c>
      <c r="AG73" s="16">
        <f t="shared" ref="AG73:AG136" si="9">IF(AA73=0,0,1)</f>
        <v>0</v>
      </c>
      <c r="AH73" s="16">
        <f t="shared" ref="AH73:AH136" si="10">SUM(AE73:AG73)</f>
        <v>1</v>
      </c>
      <c r="AI73" s="16">
        <f t="shared" ref="AI73:AI136" si="11">IF(AH73=0,1,0)</f>
        <v>0</v>
      </c>
      <c r="AJ73" s="16">
        <f t="shared" ref="AJ73:AJ136" si="12">IF(AH73=0,0,1)</f>
        <v>1</v>
      </c>
      <c r="AK73" t="str">
        <f t="shared" ref="AK73:AK136" si="13">IF(AJ73=1,"yes","no")</f>
        <v>yes</v>
      </c>
    </row>
    <row r="74" spans="1:37" x14ac:dyDescent="0.2">
      <c r="A74" s="8"/>
      <c r="B74" s="8"/>
      <c r="C74" s="8"/>
      <c r="D74" s="8"/>
      <c r="E74" s="8"/>
      <c r="F74" s="8"/>
      <c r="G74" s="8"/>
      <c r="H74" s="8"/>
      <c r="I74" s="8"/>
      <c r="K74" s="16">
        <v>67</v>
      </c>
      <c r="L74" t="s">
        <v>556</v>
      </c>
      <c r="M74">
        <v>94</v>
      </c>
      <c r="N74">
        <v>0</v>
      </c>
      <c r="O74">
        <v>29</v>
      </c>
      <c r="P74">
        <v>76.42</v>
      </c>
      <c r="Q74">
        <v>89</v>
      </c>
      <c r="R74">
        <v>34</v>
      </c>
      <c r="S74">
        <v>72.36</v>
      </c>
      <c r="T74" s="8"/>
      <c r="U74" s="35">
        <v>67</v>
      </c>
      <c r="V74" s="8" t="s">
        <v>556</v>
      </c>
      <c r="W74" s="8">
        <v>0</v>
      </c>
      <c r="X74" s="8">
        <v>0</v>
      </c>
      <c r="Y74" s="8">
        <v>16320</v>
      </c>
      <c r="Z74" s="8">
        <v>0</v>
      </c>
      <c r="AA74" s="8">
        <v>0</v>
      </c>
      <c r="AB74" s="8">
        <v>16320</v>
      </c>
      <c r="AC74" s="8">
        <v>0</v>
      </c>
      <c r="AD74" s="8"/>
      <c r="AE74" s="16">
        <f t="shared" si="7"/>
        <v>0</v>
      </c>
      <c r="AF74" s="16">
        <f t="shared" si="8"/>
        <v>1</v>
      </c>
      <c r="AG74" s="16">
        <f t="shared" si="9"/>
        <v>0</v>
      </c>
      <c r="AH74" s="16">
        <f t="shared" si="10"/>
        <v>1</v>
      </c>
      <c r="AI74" s="16">
        <f t="shared" si="11"/>
        <v>0</v>
      </c>
      <c r="AJ74" s="16">
        <f t="shared" si="12"/>
        <v>1</v>
      </c>
      <c r="AK74" t="str">
        <f t="shared" si="13"/>
        <v>yes</v>
      </c>
    </row>
    <row r="75" spans="1:37" x14ac:dyDescent="0.2">
      <c r="A75" s="8"/>
      <c r="B75" s="8"/>
      <c r="C75" s="8"/>
      <c r="D75" s="8"/>
      <c r="E75" s="8"/>
      <c r="F75" s="8"/>
      <c r="G75" s="8"/>
      <c r="H75" s="8"/>
      <c r="I75" s="8"/>
      <c r="K75" s="16">
        <v>68</v>
      </c>
      <c r="L75" t="s">
        <v>557</v>
      </c>
      <c r="M75">
        <v>86</v>
      </c>
      <c r="N75">
        <v>0</v>
      </c>
      <c r="O75">
        <v>37</v>
      </c>
      <c r="P75">
        <v>69.92</v>
      </c>
      <c r="Q75">
        <v>81</v>
      </c>
      <c r="R75">
        <v>42</v>
      </c>
      <c r="S75">
        <v>65.849999999999994</v>
      </c>
      <c r="T75" s="8"/>
      <c r="U75" s="35">
        <v>68</v>
      </c>
      <c r="V75" s="8" t="s">
        <v>557</v>
      </c>
      <c r="W75" s="8">
        <v>0</v>
      </c>
      <c r="X75" s="8">
        <v>0</v>
      </c>
      <c r="Y75" s="8">
        <v>16320</v>
      </c>
      <c r="Z75" s="8">
        <v>0</v>
      </c>
      <c r="AA75" s="8">
        <v>0</v>
      </c>
      <c r="AB75" s="8">
        <v>16320</v>
      </c>
      <c r="AC75" s="8">
        <v>0</v>
      </c>
      <c r="AD75" s="8"/>
      <c r="AE75" s="16">
        <f t="shared" si="7"/>
        <v>0</v>
      </c>
      <c r="AF75" s="16">
        <f t="shared" si="8"/>
        <v>1</v>
      </c>
      <c r="AG75" s="16">
        <f t="shared" si="9"/>
        <v>0</v>
      </c>
      <c r="AH75" s="16">
        <f t="shared" si="10"/>
        <v>1</v>
      </c>
      <c r="AI75" s="16">
        <f t="shared" si="11"/>
        <v>0</v>
      </c>
      <c r="AJ75" s="16">
        <f t="shared" si="12"/>
        <v>1</v>
      </c>
      <c r="AK75" t="str">
        <f t="shared" si="13"/>
        <v>yes</v>
      </c>
    </row>
    <row r="76" spans="1:37" x14ac:dyDescent="0.2">
      <c r="A76" s="8"/>
      <c r="B76" s="8"/>
      <c r="C76" s="8"/>
      <c r="D76" s="8"/>
      <c r="E76" s="8"/>
      <c r="F76" s="8"/>
      <c r="G76" s="8"/>
      <c r="H76" s="8"/>
      <c r="I76" s="8"/>
      <c r="K76" s="16">
        <v>69</v>
      </c>
      <c r="L76" t="s">
        <v>558</v>
      </c>
      <c r="M76">
        <v>91</v>
      </c>
      <c r="N76">
        <v>0</v>
      </c>
      <c r="O76">
        <v>32</v>
      </c>
      <c r="P76">
        <v>73.98</v>
      </c>
      <c r="Q76">
        <v>86</v>
      </c>
      <c r="R76">
        <v>37</v>
      </c>
      <c r="S76">
        <v>69.92</v>
      </c>
      <c r="T76" s="8"/>
      <c r="U76" s="35">
        <v>69</v>
      </c>
      <c r="V76" s="8" t="s">
        <v>558</v>
      </c>
      <c r="W76" s="8">
        <v>0</v>
      </c>
      <c r="X76" s="8">
        <v>0</v>
      </c>
      <c r="Y76" s="8">
        <v>16320</v>
      </c>
      <c r="Z76" s="8">
        <v>0</v>
      </c>
      <c r="AA76" s="8">
        <v>0</v>
      </c>
      <c r="AB76" s="8">
        <v>16320</v>
      </c>
      <c r="AC76" s="8">
        <v>0</v>
      </c>
      <c r="AD76" s="8"/>
      <c r="AE76" s="16">
        <f t="shared" si="7"/>
        <v>0</v>
      </c>
      <c r="AF76" s="16">
        <f t="shared" si="8"/>
        <v>1</v>
      </c>
      <c r="AG76" s="16">
        <f t="shared" si="9"/>
        <v>0</v>
      </c>
      <c r="AH76" s="16">
        <f t="shared" si="10"/>
        <v>1</v>
      </c>
      <c r="AI76" s="16">
        <f t="shared" si="11"/>
        <v>0</v>
      </c>
      <c r="AJ76" s="16">
        <f t="shared" si="12"/>
        <v>1</v>
      </c>
      <c r="AK76" t="str">
        <f t="shared" si="13"/>
        <v>yes</v>
      </c>
    </row>
    <row r="77" spans="1:37" x14ac:dyDescent="0.2">
      <c r="A77" s="8"/>
      <c r="B77" s="8"/>
      <c r="C77" s="8"/>
      <c r="D77" s="8"/>
      <c r="E77" s="8"/>
      <c r="F77" s="8"/>
      <c r="G77" s="8"/>
      <c r="H77" s="8"/>
      <c r="I77" s="8"/>
      <c r="K77" s="16">
        <v>70</v>
      </c>
      <c r="L77" t="s">
        <v>559</v>
      </c>
      <c r="M77">
        <v>69</v>
      </c>
      <c r="N77">
        <v>0</v>
      </c>
      <c r="O77">
        <v>54</v>
      </c>
      <c r="P77">
        <v>56.1</v>
      </c>
      <c r="Q77">
        <v>64</v>
      </c>
      <c r="R77">
        <v>59</v>
      </c>
      <c r="S77">
        <v>52.03</v>
      </c>
      <c r="T77" s="8"/>
      <c r="U77" s="35">
        <v>70</v>
      </c>
      <c r="V77" s="8" t="s">
        <v>559</v>
      </c>
      <c r="W77" s="8">
        <v>0</v>
      </c>
      <c r="X77" s="8">
        <v>0</v>
      </c>
      <c r="Y77" s="8">
        <v>16320</v>
      </c>
      <c r="Z77" s="8">
        <v>0</v>
      </c>
      <c r="AA77" s="8">
        <v>0</v>
      </c>
      <c r="AB77" s="8">
        <v>16320</v>
      </c>
      <c r="AC77" s="8">
        <v>0</v>
      </c>
      <c r="AD77" s="8"/>
      <c r="AE77" s="16">
        <f t="shared" si="7"/>
        <v>0</v>
      </c>
      <c r="AF77" s="16">
        <f t="shared" si="8"/>
        <v>1</v>
      </c>
      <c r="AG77" s="16">
        <f t="shared" si="9"/>
        <v>0</v>
      </c>
      <c r="AH77" s="16">
        <f t="shared" si="10"/>
        <v>1</v>
      </c>
      <c r="AI77" s="16">
        <f t="shared" si="11"/>
        <v>0</v>
      </c>
      <c r="AJ77" s="16">
        <f t="shared" si="12"/>
        <v>1</v>
      </c>
      <c r="AK77" t="str">
        <f t="shared" si="13"/>
        <v>yes</v>
      </c>
    </row>
    <row r="78" spans="1:37" x14ac:dyDescent="0.2">
      <c r="A78" s="8"/>
      <c r="B78" s="8"/>
      <c r="C78" s="8"/>
      <c r="D78" s="8"/>
      <c r="E78" s="8"/>
      <c r="F78" s="8"/>
      <c r="G78" s="8"/>
      <c r="H78" s="8"/>
      <c r="I78" s="8"/>
      <c r="K78" s="16">
        <v>71</v>
      </c>
      <c r="L78" t="s">
        <v>560</v>
      </c>
      <c r="M78">
        <v>0</v>
      </c>
      <c r="N78">
        <v>0</v>
      </c>
      <c r="O78">
        <v>123</v>
      </c>
      <c r="P78">
        <v>0</v>
      </c>
      <c r="Q78">
        <v>0</v>
      </c>
      <c r="R78">
        <v>123</v>
      </c>
      <c r="S78">
        <v>0</v>
      </c>
      <c r="T78" s="8"/>
      <c r="U78" s="35">
        <v>71</v>
      </c>
      <c r="V78" s="8" t="s">
        <v>560</v>
      </c>
      <c r="W78" s="8">
        <v>0</v>
      </c>
      <c r="X78" s="8">
        <v>0</v>
      </c>
      <c r="Y78" s="8">
        <v>16320</v>
      </c>
      <c r="Z78" s="8">
        <v>0</v>
      </c>
      <c r="AA78" s="8">
        <v>0</v>
      </c>
      <c r="AB78" s="8">
        <v>16320</v>
      </c>
      <c r="AC78" s="8">
        <v>0</v>
      </c>
      <c r="AD78" s="8"/>
      <c r="AE78" s="16">
        <f t="shared" si="7"/>
        <v>0</v>
      </c>
      <c r="AF78" s="16">
        <f t="shared" si="8"/>
        <v>0</v>
      </c>
      <c r="AG78" s="16">
        <f t="shared" si="9"/>
        <v>0</v>
      </c>
      <c r="AH78" s="16">
        <f t="shared" si="10"/>
        <v>0</v>
      </c>
      <c r="AI78" s="16">
        <f t="shared" si="11"/>
        <v>1</v>
      </c>
      <c r="AJ78" s="16">
        <f t="shared" si="12"/>
        <v>0</v>
      </c>
      <c r="AK78" t="str">
        <f t="shared" si="13"/>
        <v>no</v>
      </c>
    </row>
    <row r="79" spans="1:37" x14ac:dyDescent="0.2">
      <c r="A79" s="8"/>
      <c r="B79" s="8"/>
      <c r="C79" s="8"/>
      <c r="D79" s="8"/>
      <c r="E79" s="8"/>
      <c r="F79" s="8"/>
      <c r="G79" s="8"/>
      <c r="H79" s="8"/>
      <c r="I79" s="8"/>
      <c r="K79" s="16">
        <v>72</v>
      </c>
      <c r="L79" t="s">
        <v>561</v>
      </c>
      <c r="M79">
        <v>103</v>
      </c>
      <c r="N79">
        <v>0</v>
      </c>
      <c r="O79">
        <v>20</v>
      </c>
      <c r="P79">
        <v>83.74</v>
      </c>
      <c r="Q79">
        <v>98</v>
      </c>
      <c r="R79">
        <v>25</v>
      </c>
      <c r="S79">
        <v>79.67</v>
      </c>
      <c r="T79" s="8"/>
      <c r="U79" s="35">
        <v>72</v>
      </c>
      <c r="V79" s="8" t="s">
        <v>561</v>
      </c>
      <c r="W79" s="8">
        <v>0</v>
      </c>
      <c r="X79" s="8">
        <v>0</v>
      </c>
      <c r="Y79" s="8">
        <v>16320</v>
      </c>
      <c r="Z79" s="8">
        <v>0</v>
      </c>
      <c r="AA79" s="8">
        <v>0</v>
      </c>
      <c r="AB79" s="8">
        <v>16320</v>
      </c>
      <c r="AC79" s="8">
        <v>0</v>
      </c>
      <c r="AD79" s="8"/>
      <c r="AE79" s="16">
        <f t="shared" si="7"/>
        <v>0</v>
      </c>
      <c r="AF79" s="16">
        <f t="shared" si="8"/>
        <v>1</v>
      </c>
      <c r="AG79" s="16">
        <f t="shared" si="9"/>
        <v>0</v>
      </c>
      <c r="AH79" s="16">
        <f t="shared" si="10"/>
        <v>1</v>
      </c>
      <c r="AI79" s="16">
        <f t="shared" si="11"/>
        <v>0</v>
      </c>
      <c r="AJ79" s="16">
        <f t="shared" si="12"/>
        <v>1</v>
      </c>
      <c r="AK79" t="str">
        <f t="shared" si="13"/>
        <v>yes</v>
      </c>
    </row>
    <row r="80" spans="1:37" x14ac:dyDescent="0.2">
      <c r="A80" s="8"/>
      <c r="B80" s="8"/>
      <c r="C80" s="8"/>
      <c r="D80" s="8"/>
      <c r="E80" s="8"/>
      <c r="F80" s="8"/>
      <c r="G80" s="8"/>
      <c r="H80" s="8"/>
      <c r="I80" s="8"/>
      <c r="K80" s="16">
        <v>73</v>
      </c>
      <c r="L80" t="s">
        <v>562</v>
      </c>
      <c r="M80">
        <v>73</v>
      </c>
      <c r="N80">
        <v>0</v>
      </c>
      <c r="O80">
        <v>50</v>
      </c>
      <c r="P80">
        <v>59.35</v>
      </c>
      <c r="Q80">
        <v>68</v>
      </c>
      <c r="R80">
        <v>55</v>
      </c>
      <c r="S80">
        <v>55.28</v>
      </c>
      <c r="T80" s="8"/>
      <c r="U80" s="35">
        <v>73</v>
      </c>
      <c r="V80" s="8" t="s">
        <v>562</v>
      </c>
      <c r="W80" s="8">
        <v>0</v>
      </c>
      <c r="X80" s="8">
        <v>0</v>
      </c>
      <c r="Y80" s="8">
        <v>16320</v>
      </c>
      <c r="Z80" s="8">
        <v>0</v>
      </c>
      <c r="AA80" s="8">
        <v>0</v>
      </c>
      <c r="AB80" s="8">
        <v>16320</v>
      </c>
      <c r="AC80" s="8">
        <v>0</v>
      </c>
      <c r="AD80" s="8"/>
      <c r="AE80" s="16">
        <f t="shared" si="7"/>
        <v>0</v>
      </c>
      <c r="AF80" s="16">
        <f t="shared" si="8"/>
        <v>1</v>
      </c>
      <c r="AG80" s="16">
        <f t="shared" si="9"/>
        <v>0</v>
      </c>
      <c r="AH80" s="16">
        <f t="shared" si="10"/>
        <v>1</v>
      </c>
      <c r="AI80" s="16">
        <f t="shared" si="11"/>
        <v>0</v>
      </c>
      <c r="AJ80" s="16">
        <f t="shared" si="12"/>
        <v>1</v>
      </c>
      <c r="AK80" t="str">
        <f t="shared" si="13"/>
        <v>yes</v>
      </c>
    </row>
    <row r="81" spans="1:37" x14ac:dyDescent="0.2">
      <c r="A81" s="8"/>
      <c r="B81" s="8"/>
      <c r="C81" s="8"/>
      <c r="D81" s="8"/>
      <c r="E81" s="8"/>
      <c r="F81" s="8"/>
      <c r="G81" s="8"/>
      <c r="H81" s="8"/>
      <c r="I81" s="8"/>
      <c r="K81" s="16">
        <v>74</v>
      </c>
      <c r="L81" t="s">
        <v>563</v>
      </c>
      <c r="M81">
        <v>0</v>
      </c>
      <c r="N81">
        <v>0</v>
      </c>
      <c r="O81">
        <v>123</v>
      </c>
      <c r="P81">
        <v>0</v>
      </c>
      <c r="Q81">
        <v>0</v>
      </c>
      <c r="R81">
        <v>123</v>
      </c>
      <c r="S81">
        <v>0</v>
      </c>
      <c r="T81" s="8"/>
      <c r="U81" s="35">
        <v>74</v>
      </c>
      <c r="V81" s="8" t="s">
        <v>563</v>
      </c>
      <c r="W81" s="8">
        <v>0</v>
      </c>
      <c r="X81" s="8">
        <v>0</v>
      </c>
      <c r="Y81" s="8">
        <v>16320</v>
      </c>
      <c r="Z81" s="8">
        <v>0</v>
      </c>
      <c r="AA81" s="8">
        <v>0</v>
      </c>
      <c r="AB81" s="8">
        <v>16320</v>
      </c>
      <c r="AC81" s="8">
        <v>0</v>
      </c>
      <c r="AD81" s="8"/>
      <c r="AE81" s="16">
        <f t="shared" si="7"/>
        <v>0</v>
      </c>
      <c r="AF81" s="16">
        <f t="shared" si="8"/>
        <v>0</v>
      </c>
      <c r="AG81" s="16">
        <f t="shared" si="9"/>
        <v>0</v>
      </c>
      <c r="AH81" s="16">
        <f t="shared" si="10"/>
        <v>0</v>
      </c>
      <c r="AI81" s="16">
        <f t="shared" si="11"/>
        <v>1</v>
      </c>
      <c r="AJ81" s="16">
        <f t="shared" si="12"/>
        <v>0</v>
      </c>
      <c r="AK81" t="str">
        <f t="shared" si="13"/>
        <v>no</v>
      </c>
    </row>
    <row r="82" spans="1:37" x14ac:dyDescent="0.2">
      <c r="A82" s="8"/>
      <c r="B82" s="8"/>
      <c r="C82" s="8"/>
      <c r="D82" s="8"/>
      <c r="E82" s="8"/>
      <c r="F82" s="8"/>
      <c r="G82" s="8"/>
      <c r="H82" s="8"/>
      <c r="I82" s="8"/>
      <c r="K82" s="16">
        <v>75</v>
      </c>
      <c r="L82" t="s">
        <v>564</v>
      </c>
      <c r="M82">
        <v>0</v>
      </c>
      <c r="N82">
        <v>0</v>
      </c>
      <c r="O82">
        <v>123</v>
      </c>
      <c r="P82">
        <v>0</v>
      </c>
      <c r="Q82">
        <v>0</v>
      </c>
      <c r="R82">
        <v>123</v>
      </c>
      <c r="S82">
        <v>0</v>
      </c>
      <c r="T82" s="8"/>
      <c r="U82" s="35">
        <v>75</v>
      </c>
      <c r="V82" s="8" t="s">
        <v>564</v>
      </c>
      <c r="W82" s="8">
        <v>0</v>
      </c>
      <c r="X82" s="8">
        <v>0</v>
      </c>
      <c r="Y82" s="8">
        <v>16320</v>
      </c>
      <c r="Z82" s="8">
        <v>0</v>
      </c>
      <c r="AA82" s="8">
        <v>0</v>
      </c>
      <c r="AB82" s="8">
        <v>16320</v>
      </c>
      <c r="AC82" s="8">
        <v>0</v>
      </c>
      <c r="AD82" s="8"/>
      <c r="AE82" s="16">
        <f t="shared" si="7"/>
        <v>0</v>
      </c>
      <c r="AF82" s="16">
        <f t="shared" si="8"/>
        <v>0</v>
      </c>
      <c r="AG82" s="16">
        <f t="shared" si="9"/>
        <v>0</v>
      </c>
      <c r="AH82" s="16">
        <f t="shared" si="10"/>
        <v>0</v>
      </c>
      <c r="AI82" s="16">
        <f t="shared" si="11"/>
        <v>1</v>
      </c>
      <c r="AJ82" s="16">
        <f t="shared" si="12"/>
        <v>0</v>
      </c>
      <c r="AK82" t="str">
        <f t="shared" si="13"/>
        <v>no</v>
      </c>
    </row>
    <row r="83" spans="1:37" x14ac:dyDescent="0.2">
      <c r="A83" s="8"/>
      <c r="B83" s="8"/>
      <c r="C83" s="8"/>
      <c r="D83" s="8"/>
      <c r="E83" s="8"/>
      <c r="F83" s="8"/>
      <c r="G83" s="8"/>
      <c r="H83" s="8"/>
      <c r="I83" s="8"/>
      <c r="K83" s="16">
        <v>76</v>
      </c>
      <c r="L83" t="s">
        <v>565</v>
      </c>
      <c r="M83">
        <v>0</v>
      </c>
      <c r="N83">
        <v>0</v>
      </c>
      <c r="O83">
        <v>123</v>
      </c>
      <c r="P83">
        <v>0</v>
      </c>
      <c r="Q83">
        <v>0</v>
      </c>
      <c r="R83">
        <v>123</v>
      </c>
      <c r="S83">
        <v>0</v>
      </c>
      <c r="T83" s="8"/>
      <c r="U83" s="35">
        <v>76</v>
      </c>
      <c r="V83" s="8" t="s">
        <v>565</v>
      </c>
      <c r="W83" s="8">
        <v>16105</v>
      </c>
      <c r="X83" s="8">
        <v>13</v>
      </c>
      <c r="Y83" s="8">
        <v>202</v>
      </c>
      <c r="Z83" s="8">
        <v>98.68</v>
      </c>
      <c r="AA83" s="8">
        <v>2005</v>
      </c>
      <c r="AB83" s="8">
        <v>14302</v>
      </c>
      <c r="AC83" s="8">
        <v>12.29</v>
      </c>
      <c r="AD83" s="8"/>
      <c r="AE83" s="16">
        <f t="shared" si="7"/>
        <v>0</v>
      </c>
      <c r="AF83" s="16">
        <f t="shared" si="8"/>
        <v>0</v>
      </c>
      <c r="AG83" s="16">
        <f t="shared" si="9"/>
        <v>1</v>
      </c>
      <c r="AH83" s="16">
        <f t="shared" si="10"/>
        <v>1</v>
      </c>
      <c r="AI83" s="16">
        <f t="shared" si="11"/>
        <v>0</v>
      </c>
      <c r="AJ83" s="16">
        <f t="shared" si="12"/>
        <v>1</v>
      </c>
      <c r="AK83" t="str">
        <f t="shared" si="13"/>
        <v>yes</v>
      </c>
    </row>
    <row r="84" spans="1:37" x14ac:dyDescent="0.2">
      <c r="A84" s="8"/>
      <c r="B84" s="8"/>
      <c r="C84" s="8"/>
      <c r="D84" s="8"/>
      <c r="E84" s="8"/>
      <c r="F84" s="8"/>
      <c r="G84" s="8"/>
      <c r="H84" s="8"/>
      <c r="I84" s="8"/>
      <c r="K84" s="16">
        <v>77</v>
      </c>
      <c r="L84" t="s">
        <v>566</v>
      </c>
      <c r="M84">
        <v>0</v>
      </c>
      <c r="N84">
        <v>0</v>
      </c>
      <c r="O84">
        <v>123</v>
      </c>
      <c r="P84">
        <v>0</v>
      </c>
      <c r="Q84">
        <v>0</v>
      </c>
      <c r="R84">
        <v>123</v>
      </c>
      <c r="S84">
        <v>0</v>
      </c>
      <c r="T84" s="8"/>
      <c r="U84" s="35">
        <v>77</v>
      </c>
      <c r="V84" s="8" t="s">
        <v>566</v>
      </c>
      <c r="W84" s="8">
        <v>14077</v>
      </c>
      <c r="X84" s="8">
        <v>2</v>
      </c>
      <c r="Y84" s="8">
        <v>2241</v>
      </c>
      <c r="Z84" s="8">
        <v>86.26</v>
      </c>
      <c r="AA84" s="8">
        <v>1184</v>
      </c>
      <c r="AB84" s="8">
        <v>15134</v>
      </c>
      <c r="AC84" s="8">
        <v>7.25</v>
      </c>
      <c r="AD84" s="8"/>
      <c r="AE84" s="16">
        <f t="shared" si="7"/>
        <v>0</v>
      </c>
      <c r="AF84" s="16">
        <f t="shared" si="8"/>
        <v>0</v>
      </c>
      <c r="AG84" s="16">
        <f t="shared" si="9"/>
        <v>1</v>
      </c>
      <c r="AH84" s="16">
        <f t="shared" si="10"/>
        <v>1</v>
      </c>
      <c r="AI84" s="16">
        <f t="shared" si="11"/>
        <v>0</v>
      </c>
      <c r="AJ84" s="16">
        <f t="shared" si="12"/>
        <v>1</v>
      </c>
      <c r="AK84" t="str">
        <f t="shared" si="13"/>
        <v>yes</v>
      </c>
    </row>
    <row r="85" spans="1:37" x14ac:dyDescent="0.2">
      <c r="A85" s="8"/>
      <c r="B85" s="8"/>
      <c r="C85" s="8"/>
      <c r="D85" s="8"/>
      <c r="E85" s="8"/>
      <c r="F85" s="8"/>
      <c r="G85" s="8"/>
      <c r="H85" s="8"/>
      <c r="I85" s="8"/>
      <c r="K85" s="16">
        <v>78</v>
      </c>
      <c r="L85" t="s">
        <v>567</v>
      </c>
      <c r="M85">
        <v>0</v>
      </c>
      <c r="N85">
        <v>0</v>
      </c>
      <c r="O85">
        <v>123</v>
      </c>
      <c r="P85">
        <v>0</v>
      </c>
      <c r="Q85">
        <v>0</v>
      </c>
      <c r="R85">
        <v>123</v>
      </c>
      <c r="S85">
        <v>0</v>
      </c>
      <c r="T85" s="8"/>
      <c r="U85" s="35">
        <v>78</v>
      </c>
      <c r="V85" s="8" t="s">
        <v>567</v>
      </c>
      <c r="W85" s="8">
        <v>15363</v>
      </c>
      <c r="X85" s="8">
        <v>17</v>
      </c>
      <c r="Y85" s="8">
        <v>940</v>
      </c>
      <c r="Z85" s="8">
        <v>94.14</v>
      </c>
      <c r="AA85" s="8">
        <v>1923</v>
      </c>
      <c r="AB85" s="8">
        <v>14380</v>
      </c>
      <c r="AC85" s="8">
        <v>11.78</v>
      </c>
      <c r="AD85" s="8"/>
      <c r="AE85" s="16">
        <f t="shared" si="7"/>
        <v>0</v>
      </c>
      <c r="AF85" s="16">
        <f t="shared" si="8"/>
        <v>0</v>
      </c>
      <c r="AG85" s="16">
        <f t="shared" si="9"/>
        <v>1</v>
      </c>
      <c r="AH85" s="16">
        <f t="shared" si="10"/>
        <v>1</v>
      </c>
      <c r="AI85" s="16">
        <f t="shared" si="11"/>
        <v>0</v>
      </c>
      <c r="AJ85" s="16">
        <f t="shared" si="12"/>
        <v>1</v>
      </c>
      <c r="AK85" t="str">
        <f t="shared" si="13"/>
        <v>yes</v>
      </c>
    </row>
    <row r="86" spans="1:37" x14ac:dyDescent="0.2">
      <c r="A86" s="8"/>
      <c r="B86" s="8"/>
      <c r="C86" s="8"/>
      <c r="D86" s="8"/>
      <c r="E86" s="8"/>
      <c r="F86" s="8"/>
      <c r="G86" s="8"/>
      <c r="H86" s="8"/>
      <c r="I86" s="8"/>
      <c r="K86" s="16">
        <v>79</v>
      </c>
      <c r="L86" t="s">
        <v>568</v>
      </c>
      <c r="M86">
        <v>0</v>
      </c>
      <c r="N86">
        <v>0</v>
      </c>
      <c r="O86">
        <v>123</v>
      </c>
      <c r="P86">
        <v>0</v>
      </c>
      <c r="Q86">
        <v>0</v>
      </c>
      <c r="R86">
        <v>123</v>
      </c>
      <c r="S86">
        <v>0</v>
      </c>
      <c r="T86" s="8"/>
      <c r="U86" s="35">
        <v>79</v>
      </c>
      <c r="V86" s="8" t="s">
        <v>568</v>
      </c>
      <c r="W86" s="8">
        <v>16126</v>
      </c>
      <c r="X86" s="8">
        <v>20</v>
      </c>
      <c r="Y86" s="8">
        <v>174</v>
      </c>
      <c r="Z86" s="8">
        <v>98.81</v>
      </c>
      <c r="AA86" s="8">
        <v>1996</v>
      </c>
      <c r="AB86" s="8">
        <v>14304</v>
      </c>
      <c r="AC86" s="8">
        <v>12.23</v>
      </c>
      <c r="AD86" s="8"/>
      <c r="AE86" s="16">
        <f t="shared" si="7"/>
        <v>0</v>
      </c>
      <c r="AF86" s="16">
        <f t="shared" si="8"/>
        <v>0</v>
      </c>
      <c r="AG86" s="16">
        <f t="shared" si="9"/>
        <v>1</v>
      </c>
      <c r="AH86" s="16">
        <f t="shared" si="10"/>
        <v>1</v>
      </c>
      <c r="AI86" s="16">
        <f t="shared" si="11"/>
        <v>0</v>
      </c>
      <c r="AJ86" s="16">
        <f t="shared" si="12"/>
        <v>1</v>
      </c>
      <c r="AK86" t="str">
        <f t="shared" si="13"/>
        <v>yes</v>
      </c>
    </row>
    <row r="87" spans="1:37" x14ac:dyDescent="0.2">
      <c r="A87" s="8"/>
      <c r="B87" s="8"/>
      <c r="C87" s="8"/>
      <c r="D87" s="8"/>
      <c r="E87" s="8"/>
      <c r="F87" s="8"/>
      <c r="G87" s="8"/>
      <c r="H87" s="8"/>
      <c r="I87" s="8"/>
      <c r="K87" s="16">
        <v>80</v>
      </c>
      <c r="L87" t="s">
        <v>569</v>
      </c>
      <c r="M87">
        <v>0</v>
      </c>
      <c r="N87">
        <v>0</v>
      </c>
      <c r="O87">
        <v>123</v>
      </c>
      <c r="P87">
        <v>0</v>
      </c>
      <c r="Q87">
        <v>0</v>
      </c>
      <c r="R87">
        <v>123</v>
      </c>
      <c r="S87">
        <v>0</v>
      </c>
      <c r="T87" s="8"/>
      <c r="U87" s="35">
        <v>80</v>
      </c>
      <c r="V87" s="8" t="s">
        <v>569</v>
      </c>
      <c r="W87" s="8">
        <v>15434</v>
      </c>
      <c r="X87" s="8">
        <v>7</v>
      </c>
      <c r="Y87" s="8">
        <v>879</v>
      </c>
      <c r="Z87" s="8">
        <v>94.57</v>
      </c>
      <c r="AA87" s="8">
        <v>1937</v>
      </c>
      <c r="AB87" s="8">
        <v>14376</v>
      </c>
      <c r="AC87" s="8">
        <v>11.87</v>
      </c>
      <c r="AD87" s="8"/>
      <c r="AE87" s="16">
        <f t="shared" si="7"/>
        <v>0</v>
      </c>
      <c r="AF87" s="16">
        <f t="shared" si="8"/>
        <v>0</v>
      </c>
      <c r="AG87" s="16">
        <f t="shared" si="9"/>
        <v>1</v>
      </c>
      <c r="AH87" s="16">
        <f t="shared" si="10"/>
        <v>1</v>
      </c>
      <c r="AI87" s="16">
        <f t="shared" si="11"/>
        <v>0</v>
      </c>
      <c r="AJ87" s="16">
        <f t="shared" si="12"/>
        <v>1</v>
      </c>
      <c r="AK87" t="str">
        <f t="shared" si="13"/>
        <v>yes</v>
      </c>
    </row>
    <row r="88" spans="1:37" x14ac:dyDescent="0.2">
      <c r="A88" s="8"/>
      <c r="B88" s="8"/>
      <c r="C88" s="8"/>
      <c r="D88" s="8"/>
      <c r="E88" s="8"/>
      <c r="F88" s="8"/>
      <c r="G88" s="8"/>
      <c r="H88" s="8"/>
      <c r="I88" s="8"/>
      <c r="K88" s="16">
        <v>81</v>
      </c>
      <c r="L88" t="s">
        <v>570</v>
      </c>
      <c r="M88">
        <v>0</v>
      </c>
      <c r="N88">
        <v>0</v>
      </c>
      <c r="O88">
        <v>123</v>
      </c>
      <c r="P88">
        <v>0</v>
      </c>
      <c r="Q88">
        <v>0</v>
      </c>
      <c r="R88">
        <v>123</v>
      </c>
      <c r="S88">
        <v>0</v>
      </c>
      <c r="T88" s="8"/>
      <c r="U88" s="35">
        <v>81</v>
      </c>
      <c r="V88" s="8" t="s">
        <v>570</v>
      </c>
      <c r="W88" s="8">
        <v>15058</v>
      </c>
      <c r="X88" s="8">
        <v>20</v>
      </c>
      <c r="Y88" s="8">
        <v>1242</v>
      </c>
      <c r="Z88" s="8">
        <v>92.27</v>
      </c>
      <c r="AA88" s="8">
        <v>1903</v>
      </c>
      <c r="AB88" s="8">
        <v>14397</v>
      </c>
      <c r="AC88" s="8">
        <v>11.66</v>
      </c>
      <c r="AD88" s="8"/>
      <c r="AE88" s="16">
        <f t="shared" si="7"/>
        <v>0</v>
      </c>
      <c r="AF88" s="16">
        <f t="shared" si="8"/>
        <v>0</v>
      </c>
      <c r="AG88" s="16">
        <f t="shared" si="9"/>
        <v>1</v>
      </c>
      <c r="AH88" s="16">
        <f t="shared" si="10"/>
        <v>1</v>
      </c>
      <c r="AI88" s="16">
        <f t="shared" si="11"/>
        <v>0</v>
      </c>
      <c r="AJ88" s="16">
        <f t="shared" si="12"/>
        <v>1</v>
      </c>
      <c r="AK88" t="str">
        <f t="shared" si="13"/>
        <v>yes</v>
      </c>
    </row>
    <row r="89" spans="1:37" x14ac:dyDescent="0.2">
      <c r="A89" s="8"/>
      <c r="B89" s="8"/>
      <c r="C89" s="8"/>
      <c r="D89" s="8"/>
      <c r="E89" s="8"/>
      <c r="F89" s="8"/>
      <c r="G89" s="8"/>
      <c r="H89" s="8"/>
      <c r="I89" s="8"/>
      <c r="K89" s="16">
        <v>82</v>
      </c>
      <c r="L89" t="s">
        <v>571</v>
      </c>
      <c r="M89">
        <v>106</v>
      </c>
      <c r="N89">
        <v>0</v>
      </c>
      <c r="O89">
        <v>17</v>
      </c>
      <c r="P89">
        <v>86.18</v>
      </c>
      <c r="Q89">
        <v>101</v>
      </c>
      <c r="R89">
        <v>22</v>
      </c>
      <c r="S89">
        <v>82.11</v>
      </c>
      <c r="T89" s="8"/>
      <c r="U89" s="35">
        <v>82</v>
      </c>
      <c r="V89" s="8" t="s">
        <v>571</v>
      </c>
      <c r="W89" s="8">
        <v>14864</v>
      </c>
      <c r="X89" s="8">
        <v>2</v>
      </c>
      <c r="Y89" s="8">
        <v>1454</v>
      </c>
      <c r="Z89" s="8">
        <v>91.08</v>
      </c>
      <c r="AA89" s="8">
        <v>1455</v>
      </c>
      <c r="AB89" s="8">
        <v>14863</v>
      </c>
      <c r="AC89" s="8">
        <v>8.92</v>
      </c>
      <c r="AD89" s="8"/>
      <c r="AE89" s="16">
        <f t="shared" si="7"/>
        <v>0</v>
      </c>
      <c r="AF89" s="16">
        <f t="shared" si="8"/>
        <v>1</v>
      </c>
      <c r="AG89" s="16">
        <f t="shared" si="9"/>
        <v>1</v>
      </c>
      <c r="AH89" s="16">
        <f t="shared" si="10"/>
        <v>2</v>
      </c>
      <c r="AI89" s="16">
        <f t="shared" si="11"/>
        <v>0</v>
      </c>
      <c r="AJ89" s="16">
        <f t="shared" si="12"/>
        <v>1</v>
      </c>
      <c r="AK89" t="str">
        <f t="shared" si="13"/>
        <v>yes</v>
      </c>
    </row>
    <row r="90" spans="1:37" x14ac:dyDescent="0.2">
      <c r="A90" s="8"/>
      <c r="B90" s="8"/>
      <c r="C90" s="8"/>
      <c r="D90" s="8"/>
      <c r="E90" s="8"/>
      <c r="F90" s="8"/>
      <c r="G90" s="8"/>
      <c r="H90" s="8"/>
      <c r="I90" s="8"/>
      <c r="K90" s="16">
        <v>83</v>
      </c>
      <c r="L90" t="s">
        <v>572</v>
      </c>
      <c r="M90">
        <v>0</v>
      </c>
      <c r="N90">
        <v>0</v>
      </c>
      <c r="O90">
        <v>123</v>
      </c>
      <c r="P90">
        <v>0</v>
      </c>
      <c r="Q90">
        <v>0</v>
      </c>
      <c r="R90">
        <v>123</v>
      </c>
      <c r="S90">
        <v>0</v>
      </c>
      <c r="T90" s="8"/>
      <c r="U90" s="35">
        <v>83</v>
      </c>
      <c r="V90" s="8" t="s">
        <v>572</v>
      </c>
      <c r="W90" s="8">
        <v>0</v>
      </c>
      <c r="X90" s="8">
        <v>0</v>
      </c>
      <c r="Y90" s="8">
        <v>16320</v>
      </c>
      <c r="Z90" s="8">
        <v>0</v>
      </c>
      <c r="AA90" s="8">
        <v>0</v>
      </c>
      <c r="AB90" s="8">
        <v>16320</v>
      </c>
      <c r="AC90" s="8">
        <v>0</v>
      </c>
      <c r="AD90" s="8"/>
      <c r="AE90" s="16">
        <f t="shared" si="7"/>
        <v>0</v>
      </c>
      <c r="AF90" s="16">
        <f t="shared" si="8"/>
        <v>0</v>
      </c>
      <c r="AG90" s="16">
        <f t="shared" si="9"/>
        <v>0</v>
      </c>
      <c r="AH90" s="16">
        <f t="shared" si="10"/>
        <v>0</v>
      </c>
      <c r="AI90" s="16">
        <f t="shared" si="11"/>
        <v>1</v>
      </c>
      <c r="AJ90" s="16">
        <f t="shared" si="12"/>
        <v>0</v>
      </c>
      <c r="AK90" t="str">
        <f t="shared" si="13"/>
        <v>no</v>
      </c>
    </row>
    <row r="91" spans="1:37" x14ac:dyDescent="0.2">
      <c r="A91" s="8"/>
      <c r="B91" s="8"/>
      <c r="C91" s="8"/>
      <c r="D91" s="8"/>
      <c r="E91" s="8"/>
      <c r="F91" s="8"/>
      <c r="G91" s="8"/>
      <c r="H91" s="8"/>
      <c r="I91" s="8"/>
      <c r="K91" s="16">
        <v>84</v>
      </c>
      <c r="L91" t="s">
        <v>573</v>
      </c>
      <c r="M91">
        <v>0</v>
      </c>
      <c r="N91">
        <v>0</v>
      </c>
      <c r="O91">
        <v>123</v>
      </c>
      <c r="P91">
        <v>0</v>
      </c>
      <c r="Q91">
        <v>0</v>
      </c>
      <c r="R91">
        <v>123</v>
      </c>
      <c r="S91">
        <v>0</v>
      </c>
      <c r="T91" s="8"/>
      <c r="U91" s="35">
        <v>84</v>
      </c>
      <c r="V91" s="8" t="s">
        <v>573</v>
      </c>
      <c r="W91" s="8">
        <v>0</v>
      </c>
      <c r="X91" s="8">
        <v>0</v>
      </c>
      <c r="Y91" s="8">
        <v>16320</v>
      </c>
      <c r="Z91" s="8">
        <v>0</v>
      </c>
      <c r="AA91" s="8">
        <v>0</v>
      </c>
      <c r="AB91" s="8">
        <v>16320</v>
      </c>
      <c r="AC91" s="8">
        <v>0</v>
      </c>
      <c r="AD91" s="8"/>
      <c r="AE91" s="16">
        <f t="shared" si="7"/>
        <v>0</v>
      </c>
      <c r="AF91" s="16">
        <f t="shared" si="8"/>
        <v>0</v>
      </c>
      <c r="AG91" s="16">
        <f t="shared" si="9"/>
        <v>0</v>
      </c>
      <c r="AH91" s="16">
        <f t="shared" si="10"/>
        <v>0</v>
      </c>
      <c r="AI91" s="16">
        <f t="shared" si="11"/>
        <v>1</v>
      </c>
      <c r="AJ91" s="16">
        <f t="shared" si="12"/>
        <v>0</v>
      </c>
      <c r="AK91" t="str">
        <f t="shared" si="13"/>
        <v>no</v>
      </c>
    </row>
    <row r="92" spans="1:37" x14ac:dyDescent="0.2">
      <c r="A92" s="8"/>
      <c r="B92" s="8"/>
      <c r="C92" s="8"/>
      <c r="D92" s="8"/>
      <c r="E92" s="8"/>
      <c r="F92" s="8"/>
      <c r="G92" s="8"/>
      <c r="H92" s="8"/>
      <c r="I92" s="8"/>
      <c r="K92" s="16">
        <v>85</v>
      </c>
      <c r="L92" t="s">
        <v>574</v>
      </c>
      <c r="M92">
        <v>0</v>
      </c>
      <c r="N92">
        <v>0</v>
      </c>
      <c r="O92">
        <v>123</v>
      </c>
      <c r="P92">
        <v>0</v>
      </c>
      <c r="Q92">
        <v>0</v>
      </c>
      <c r="R92">
        <v>123</v>
      </c>
      <c r="S92">
        <v>0</v>
      </c>
      <c r="T92" s="8"/>
      <c r="U92" s="35">
        <v>85</v>
      </c>
      <c r="V92" s="8" t="s">
        <v>574</v>
      </c>
      <c r="W92" s="8">
        <v>0</v>
      </c>
      <c r="X92" s="8">
        <v>0</v>
      </c>
      <c r="Y92" s="8">
        <v>16320</v>
      </c>
      <c r="Z92" s="8">
        <v>0</v>
      </c>
      <c r="AA92" s="8">
        <v>0</v>
      </c>
      <c r="AB92" s="8">
        <v>16320</v>
      </c>
      <c r="AC92" s="8">
        <v>0</v>
      </c>
      <c r="AD92" s="8"/>
      <c r="AE92" s="16">
        <f t="shared" si="7"/>
        <v>0</v>
      </c>
      <c r="AF92" s="16">
        <f t="shared" si="8"/>
        <v>0</v>
      </c>
      <c r="AG92" s="16">
        <f t="shared" si="9"/>
        <v>0</v>
      </c>
      <c r="AH92" s="16">
        <f t="shared" si="10"/>
        <v>0</v>
      </c>
      <c r="AI92" s="16">
        <f t="shared" si="11"/>
        <v>1</v>
      </c>
      <c r="AJ92" s="16">
        <f t="shared" si="12"/>
        <v>0</v>
      </c>
      <c r="AK92" t="str">
        <f t="shared" si="13"/>
        <v>no</v>
      </c>
    </row>
    <row r="93" spans="1:37" x14ac:dyDescent="0.2">
      <c r="A93" s="8"/>
      <c r="B93" s="8"/>
      <c r="C93" s="8"/>
      <c r="D93" s="8"/>
      <c r="E93" s="8"/>
      <c r="F93" s="8"/>
      <c r="G93" s="8"/>
      <c r="H93" s="8"/>
      <c r="I93" s="8"/>
      <c r="K93" s="16">
        <v>86</v>
      </c>
      <c r="L93" t="s">
        <v>575</v>
      </c>
      <c r="M93">
        <v>94</v>
      </c>
      <c r="N93">
        <v>0</v>
      </c>
      <c r="O93">
        <v>29</v>
      </c>
      <c r="P93">
        <v>76.42</v>
      </c>
      <c r="Q93">
        <v>89</v>
      </c>
      <c r="R93">
        <v>34</v>
      </c>
      <c r="S93">
        <v>72.36</v>
      </c>
      <c r="T93" s="8"/>
      <c r="U93" s="35">
        <v>86</v>
      </c>
      <c r="V93" s="8" t="s">
        <v>575</v>
      </c>
      <c r="W93" s="8">
        <v>0</v>
      </c>
      <c r="X93" s="8">
        <v>0</v>
      </c>
      <c r="Y93" s="8">
        <v>16320</v>
      </c>
      <c r="Z93" s="8">
        <v>0</v>
      </c>
      <c r="AA93" s="8">
        <v>0</v>
      </c>
      <c r="AB93" s="8">
        <v>16320</v>
      </c>
      <c r="AC93" s="8">
        <v>0</v>
      </c>
      <c r="AD93" s="8"/>
      <c r="AE93" s="16">
        <f t="shared" si="7"/>
        <v>0</v>
      </c>
      <c r="AF93" s="16">
        <f t="shared" si="8"/>
        <v>1</v>
      </c>
      <c r="AG93" s="16">
        <f t="shared" si="9"/>
        <v>0</v>
      </c>
      <c r="AH93" s="16">
        <f t="shared" si="10"/>
        <v>1</v>
      </c>
      <c r="AI93" s="16">
        <f t="shared" si="11"/>
        <v>0</v>
      </c>
      <c r="AJ93" s="16">
        <f t="shared" si="12"/>
        <v>1</v>
      </c>
      <c r="AK93" t="str">
        <f t="shared" si="13"/>
        <v>yes</v>
      </c>
    </row>
    <row r="94" spans="1:37" x14ac:dyDescent="0.2">
      <c r="A94" s="8"/>
      <c r="B94" s="8"/>
      <c r="C94" s="8"/>
      <c r="D94" s="8"/>
      <c r="E94" s="8"/>
      <c r="F94" s="8"/>
      <c r="G94" s="8"/>
      <c r="H94" s="8"/>
      <c r="I94" s="8"/>
      <c r="K94" s="16">
        <v>87</v>
      </c>
      <c r="L94" t="s">
        <v>576</v>
      </c>
      <c r="M94">
        <v>82</v>
      </c>
      <c r="N94">
        <v>0</v>
      </c>
      <c r="O94">
        <v>41</v>
      </c>
      <c r="P94">
        <v>66.67</v>
      </c>
      <c r="Q94">
        <v>77</v>
      </c>
      <c r="R94">
        <v>46</v>
      </c>
      <c r="S94">
        <v>62.6</v>
      </c>
      <c r="T94" s="8"/>
      <c r="U94" s="35">
        <v>87</v>
      </c>
      <c r="V94" s="8" t="s">
        <v>576</v>
      </c>
      <c r="W94" s="8">
        <v>0</v>
      </c>
      <c r="X94" s="8">
        <v>0</v>
      </c>
      <c r="Y94" s="8">
        <v>16320</v>
      </c>
      <c r="Z94" s="8">
        <v>0</v>
      </c>
      <c r="AA94" s="8">
        <v>0</v>
      </c>
      <c r="AB94" s="8">
        <v>16320</v>
      </c>
      <c r="AC94" s="8">
        <v>0</v>
      </c>
      <c r="AD94" s="8"/>
      <c r="AE94" s="16">
        <f t="shared" si="7"/>
        <v>0</v>
      </c>
      <c r="AF94" s="16">
        <f t="shared" si="8"/>
        <v>1</v>
      </c>
      <c r="AG94" s="16">
        <f t="shared" si="9"/>
        <v>0</v>
      </c>
      <c r="AH94" s="16">
        <f t="shared" si="10"/>
        <v>1</v>
      </c>
      <c r="AI94" s="16">
        <f t="shared" si="11"/>
        <v>0</v>
      </c>
      <c r="AJ94" s="16">
        <f t="shared" si="12"/>
        <v>1</v>
      </c>
      <c r="AK94" t="str">
        <f t="shared" si="13"/>
        <v>yes</v>
      </c>
    </row>
    <row r="95" spans="1:37" x14ac:dyDescent="0.2">
      <c r="A95" s="8"/>
      <c r="B95" s="8"/>
      <c r="C95" s="8"/>
      <c r="D95" s="8"/>
      <c r="E95" s="8"/>
      <c r="F95" s="8"/>
      <c r="G95" s="8"/>
      <c r="H95" s="8"/>
      <c r="I95" s="8"/>
      <c r="K95" s="16">
        <v>88</v>
      </c>
      <c r="L95" t="s">
        <v>577</v>
      </c>
      <c r="M95">
        <v>0</v>
      </c>
      <c r="N95">
        <v>0</v>
      </c>
      <c r="O95">
        <v>123</v>
      </c>
      <c r="P95">
        <v>0</v>
      </c>
      <c r="Q95">
        <v>0</v>
      </c>
      <c r="R95">
        <v>123</v>
      </c>
      <c r="S95">
        <v>0</v>
      </c>
      <c r="T95" s="8"/>
      <c r="U95" s="35">
        <v>88</v>
      </c>
      <c r="V95" s="8" t="s">
        <v>577</v>
      </c>
      <c r="W95" s="8">
        <v>0</v>
      </c>
      <c r="X95" s="8">
        <v>0</v>
      </c>
      <c r="Y95" s="8">
        <v>16320</v>
      </c>
      <c r="Z95" s="8">
        <v>0</v>
      </c>
      <c r="AA95" s="8">
        <v>0</v>
      </c>
      <c r="AB95" s="8">
        <v>16320</v>
      </c>
      <c r="AC95" s="8">
        <v>0</v>
      </c>
      <c r="AD95" s="8"/>
      <c r="AE95" s="16">
        <f t="shared" si="7"/>
        <v>0</v>
      </c>
      <c r="AF95" s="16">
        <f t="shared" si="8"/>
        <v>0</v>
      </c>
      <c r="AG95" s="16">
        <f t="shared" si="9"/>
        <v>0</v>
      </c>
      <c r="AH95" s="16">
        <f t="shared" si="10"/>
        <v>0</v>
      </c>
      <c r="AI95" s="16">
        <f t="shared" si="11"/>
        <v>1</v>
      </c>
      <c r="AJ95" s="16">
        <f t="shared" si="12"/>
        <v>0</v>
      </c>
      <c r="AK95" t="str">
        <f t="shared" si="13"/>
        <v>no</v>
      </c>
    </row>
    <row r="96" spans="1:37" x14ac:dyDescent="0.2">
      <c r="A96" s="8"/>
      <c r="B96" s="8"/>
      <c r="C96" s="8"/>
      <c r="D96" s="8"/>
      <c r="E96" s="8"/>
      <c r="F96" s="8"/>
      <c r="G96" s="8"/>
      <c r="H96" s="8"/>
      <c r="I96" s="8"/>
      <c r="K96" s="16">
        <v>89</v>
      </c>
      <c r="L96" t="s">
        <v>578</v>
      </c>
      <c r="M96">
        <v>0</v>
      </c>
      <c r="N96">
        <v>0</v>
      </c>
      <c r="O96">
        <v>123</v>
      </c>
      <c r="P96">
        <v>0</v>
      </c>
      <c r="Q96">
        <v>0</v>
      </c>
      <c r="R96">
        <v>123</v>
      </c>
      <c r="S96">
        <v>0</v>
      </c>
      <c r="T96" s="8"/>
      <c r="U96" s="35">
        <v>89</v>
      </c>
      <c r="V96" s="8" t="s">
        <v>578</v>
      </c>
      <c r="W96" s="8">
        <v>0</v>
      </c>
      <c r="X96" s="8">
        <v>0</v>
      </c>
      <c r="Y96" s="8">
        <v>16320</v>
      </c>
      <c r="Z96" s="8">
        <v>0</v>
      </c>
      <c r="AA96" s="8">
        <v>0</v>
      </c>
      <c r="AB96" s="8">
        <v>16320</v>
      </c>
      <c r="AC96" s="8">
        <v>0</v>
      </c>
      <c r="AD96" s="8"/>
      <c r="AE96" s="16">
        <f t="shared" si="7"/>
        <v>0</v>
      </c>
      <c r="AF96" s="16">
        <f t="shared" si="8"/>
        <v>0</v>
      </c>
      <c r="AG96" s="16">
        <f t="shared" si="9"/>
        <v>0</v>
      </c>
      <c r="AH96" s="16">
        <f t="shared" si="10"/>
        <v>0</v>
      </c>
      <c r="AI96" s="16">
        <f t="shared" si="11"/>
        <v>1</v>
      </c>
      <c r="AJ96" s="16">
        <f t="shared" si="12"/>
        <v>0</v>
      </c>
      <c r="AK96" t="str">
        <f t="shared" si="13"/>
        <v>no</v>
      </c>
    </row>
    <row r="97" spans="1:37" x14ac:dyDescent="0.2">
      <c r="A97" s="35"/>
      <c r="B97" s="8"/>
      <c r="C97" s="8"/>
      <c r="D97" s="8"/>
      <c r="E97" s="8"/>
      <c r="F97" s="8"/>
      <c r="G97" s="8"/>
      <c r="H97" s="8"/>
      <c r="I97" s="8"/>
      <c r="K97" s="16">
        <v>90</v>
      </c>
      <c r="L97" t="s">
        <v>579</v>
      </c>
      <c r="M97">
        <v>0</v>
      </c>
      <c r="N97">
        <v>0</v>
      </c>
      <c r="O97">
        <v>123</v>
      </c>
      <c r="P97">
        <v>0</v>
      </c>
      <c r="Q97">
        <v>0</v>
      </c>
      <c r="R97">
        <v>123</v>
      </c>
      <c r="S97">
        <v>0</v>
      </c>
      <c r="T97" s="8"/>
      <c r="U97" s="35">
        <v>90</v>
      </c>
      <c r="V97" s="8" t="s">
        <v>579</v>
      </c>
      <c r="W97" s="8">
        <v>0</v>
      </c>
      <c r="X97" s="8">
        <v>0</v>
      </c>
      <c r="Y97" s="8">
        <v>16320</v>
      </c>
      <c r="Z97" s="8">
        <v>0</v>
      </c>
      <c r="AA97" s="8">
        <v>0</v>
      </c>
      <c r="AB97" s="8">
        <v>16320</v>
      </c>
      <c r="AC97" s="8">
        <v>0</v>
      </c>
      <c r="AD97" s="8"/>
      <c r="AE97" s="16">
        <f t="shared" si="7"/>
        <v>0</v>
      </c>
      <c r="AF97" s="16">
        <f t="shared" si="8"/>
        <v>0</v>
      </c>
      <c r="AG97" s="16">
        <f t="shared" si="9"/>
        <v>0</v>
      </c>
      <c r="AH97" s="16">
        <f t="shared" si="10"/>
        <v>0</v>
      </c>
      <c r="AI97" s="16">
        <f t="shared" si="11"/>
        <v>1</v>
      </c>
      <c r="AJ97" s="16">
        <f t="shared" si="12"/>
        <v>0</v>
      </c>
      <c r="AK97" t="str">
        <f t="shared" si="13"/>
        <v>no</v>
      </c>
    </row>
    <row r="98" spans="1:37" x14ac:dyDescent="0.2">
      <c r="A98" s="35"/>
      <c r="B98" s="8"/>
      <c r="C98" s="8"/>
      <c r="D98" s="8"/>
      <c r="E98" s="8"/>
      <c r="F98" s="8"/>
      <c r="G98" s="8"/>
      <c r="H98" s="8"/>
      <c r="I98" s="8"/>
      <c r="K98" s="16">
        <v>91</v>
      </c>
      <c r="L98" t="s">
        <v>580</v>
      </c>
      <c r="M98">
        <v>0</v>
      </c>
      <c r="N98">
        <v>0</v>
      </c>
      <c r="O98">
        <v>123</v>
      </c>
      <c r="P98">
        <v>0</v>
      </c>
      <c r="Q98">
        <v>0</v>
      </c>
      <c r="R98">
        <v>123</v>
      </c>
      <c r="S98">
        <v>0</v>
      </c>
      <c r="T98" s="8"/>
      <c r="U98" s="35">
        <v>91</v>
      </c>
      <c r="V98" s="8" t="s">
        <v>580</v>
      </c>
      <c r="W98" s="8">
        <v>0</v>
      </c>
      <c r="X98" s="8">
        <v>0</v>
      </c>
      <c r="Y98" s="8">
        <v>16320</v>
      </c>
      <c r="Z98" s="8">
        <v>0</v>
      </c>
      <c r="AA98" s="8">
        <v>0</v>
      </c>
      <c r="AB98" s="8">
        <v>16320</v>
      </c>
      <c r="AC98" s="8">
        <v>0</v>
      </c>
      <c r="AD98" s="8"/>
      <c r="AE98" s="16">
        <f t="shared" si="7"/>
        <v>0</v>
      </c>
      <c r="AF98" s="16">
        <f t="shared" si="8"/>
        <v>0</v>
      </c>
      <c r="AG98" s="16">
        <f t="shared" si="9"/>
        <v>0</v>
      </c>
      <c r="AH98" s="16">
        <f t="shared" si="10"/>
        <v>0</v>
      </c>
      <c r="AI98" s="16">
        <f t="shared" si="11"/>
        <v>1</v>
      </c>
      <c r="AJ98" s="16">
        <f t="shared" si="12"/>
        <v>0</v>
      </c>
      <c r="AK98" t="str">
        <f t="shared" si="13"/>
        <v>no</v>
      </c>
    </row>
    <row r="99" spans="1:37" x14ac:dyDescent="0.2">
      <c r="A99" s="35"/>
      <c r="B99" s="8"/>
      <c r="C99" s="8"/>
      <c r="D99" s="8"/>
      <c r="E99" s="8"/>
      <c r="F99" s="8"/>
      <c r="G99" s="8"/>
      <c r="H99" s="8"/>
      <c r="I99" s="8"/>
      <c r="K99" s="16">
        <v>92</v>
      </c>
      <c r="L99" t="s">
        <v>581</v>
      </c>
      <c r="M99">
        <v>0</v>
      </c>
      <c r="N99">
        <v>0</v>
      </c>
      <c r="O99">
        <v>123</v>
      </c>
      <c r="P99">
        <v>0</v>
      </c>
      <c r="Q99">
        <v>0</v>
      </c>
      <c r="R99">
        <v>123</v>
      </c>
      <c r="S99">
        <v>0</v>
      </c>
      <c r="T99" s="8"/>
      <c r="U99" s="35">
        <v>92</v>
      </c>
      <c r="V99" s="8" t="s">
        <v>581</v>
      </c>
      <c r="W99" s="8">
        <v>0</v>
      </c>
      <c r="X99" s="8">
        <v>0</v>
      </c>
      <c r="Y99" s="8">
        <v>16320</v>
      </c>
      <c r="Z99" s="8">
        <v>0</v>
      </c>
      <c r="AA99" s="8">
        <v>0</v>
      </c>
      <c r="AB99" s="8">
        <v>16320</v>
      </c>
      <c r="AC99" s="8">
        <v>0</v>
      </c>
      <c r="AD99" s="8"/>
      <c r="AE99" s="16">
        <f t="shared" si="7"/>
        <v>0</v>
      </c>
      <c r="AF99" s="16">
        <f t="shared" si="8"/>
        <v>0</v>
      </c>
      <c r="AG99" s="16">
        <f t="shared" si="9"/>
        <v>0</v>
      </c>
      <c r="AH99" s="16">
        <f t="shared" si="10"/>
        <v>0</v>
      </c>
      <c r="AI99" s="16">
        <f t="shared" si="11"/>
        <v>1</v>
      </c>
      <c r="AJ99" s="16">
        <f t="shared" si="12"/>
        <v>0</v>
      </c>
      <c r="AK99" t="str">
        <f t="shared" si="13"/>
        <v>no</v>
      </c>
    </row>
    <row r="100" spans="1:37" x14ac:dyDescent="0.2">
      <c r="A100" s="35"/>
      <c r="B100" s="8"/>
      <c r="C100" s="8"/>
      <c r="D100" s="8"/>
      <c r="E100" s="8"/>
      <c r="F100" s="8"/>
      <c r="G100" s="8"/>
      <c r="H100" s="8"/>
      <c r="I100" s="8"/>
      <c r="K100" s="16">
        <v>93</v>
      </c>
      <c r="L100" t="s">
        <v>582</v>
      </c>
      <c r="M100">
        <v>0</v>
      </c>
      <c r="N100">
        <v>0</v>
      </c>
      <c r="O100">
        <v>123</v>
      </c>
      <c r="P100">
        <v>0</v>
      </c>
      <c r="Q100">
        <v>0</v>
      </c>
      <c r="R100">
        <v>123</v>
      </c>
      <c r="S100">
        <v>0</v>
      </c>
      <c r="T100" s="8"/>
      <c r="U100" s="35">
        <v>93</v>
      </c>
      <c r="V100" s="8" t="s">
        <v>582</v>
      </c>
      <c r="W100" s="8">
        <v>0</v>
      </c>
      <c r="X100" s="8">
        <v>0</v>
      </c>
      <c r="Y100" s="8">
        <v>16320</v>
      </c>
      <c r="Z100" s="8">
        <v>0</v>
      </c>
      <c r="AA100" s="8">
        <v>0</v>
      </c>
      <c r="AB100" s="8">
        <v>16320</v>
      </c>
      <c r="AC100" s="8">
        <v>0</v>
      </c>
      <c r="AD100" s="8"/>
      <c r="AE100" s="16">
        <f t="shared" si="7"/>
        <v>0</v>
      </c>
      <c r="AF100" s="16">
        <f t="shared" si="8"/>
        <v>0</v>
      </c>
      <c r="AG100" s="16">
        <f t="shared" si="9"/>
        <v>0</v>
      </c>
      <c r="AH100" s="16">
        <f t="shared" si="10"/>
        <v>0</v>
      </c>
      <c r="AI100" s="16">
        <f t="shared" si="11"/>
        <v>1</v>
      </c>
      <c r="AJ100" s="16">
        <f t="shared" si="12"/>
        <v>0</v>
      </c>
      <c r="AK100" t="str">
        <f t="shared" si="13"/>
        <v>no</v>
      </c>
    </row>
    <row r="101" spans="1:37" x14ac:dyDescent="0.2">
      <c r="A101" s="35"/>
      <c r="B101" s="8"/>
      <c r="C101" s="8"/>
      <c r="D101" s="8"/>
      <c r="E101" s="8"/>
      <c r="F101" s="8"/>
      <c r="G101" s="8"/>
      <c r="H101" s="8"/>
      <c r="I101" s="8"/>
      <c r="K101" s="16">
        <v>94</v>
      </c>
      <c r="L101" t="s">
        <v>583</v>
      </c>
      <c r="M101">
        <v>0</v>
      </c>
      <c r="N101">
        <v>0</v>
      </c>
      <c r="O101">
        <v>123</v>
      </c>
      <c r="P101">
        <v>0</v>
      </c>
      <c r="Q101">
        <v>0</v>
      </c>
      <c r="R101">
        <v>123</v>
      </c>
      <c r="S101">
        <v>0</v>
      </c>
      <c r="T101" s="8"/>
      <c r="U101" s="35">
        <v>94</v>
      </c>
      <c r="V101" s="8" t="s">
        <v>583</v>
      </c>
      <c r="W101" s="8">
        <v>15337</v>
      </c>
      <c r="X101" s="8">
        <v>4</v>
      </c>
      <c r="Y101" s="8">
        <v>979</v>
      </c>
      <c r="Z101" s="8">
        <v>93.98</v>
      </c>
      <c r="AA101" s="8">
        <v>1907</v>
      </c>
      <c r="AB101" s="8">
        <v>14409</v>
      </c>
      <c r="AC101" s="8">
        <v>11.69</v>
      </c>
      <c r="AD101" s="8"/>
      <c r="AE101" s="16">
        <f t="shared" si="7"/>
        <v>0</v>
      </c>
      <c r="AF101" s="16">
        <f t="shared" si="8"/>
        <v>0</v>
      </c>
      <c r="AG101" s="16">
        <f t="shared" si="9"/>
        <v>1</v>
      </c>
      <c r="AH101" s="16">
        <f t="shared" si="10"/>
        <v>1</v>
      </c>
      <c r="AI101" s="16">
        <f t="shared" si="11"/>
        <v>0</v>
      </c>
      <c r="AJ101" s="16">
        <f t="shared" si="12"/>
        <v>1</v>
      </c>
      <c r="AK101" t="str">
        <f t="shared" si="13"/>
        <v>yes</v>
      </c>
    </row>
    <row r="102" spans="1:37" x14ac:dyDescent="0.2">
      <c r="A102" s="35"/>
      <c r="B102" s="8"/>
      <c r="C102" s="8"/>
      <c r="D102" s="8"/>
      <c r="E102" s="8"/>
      <c r="F102" s="8"/>
      <c r="G102" s="8"/>
      <c r="H102" s="8"/>
      <c r="I102" s="8"/>
      <c r="K102" s="16">
        <v>95</v>
      </c>
      <c r="L102" t="s">
        <v>584</v>
      </c>
      <c r="M102">
        <v>0</v>
      </c>
      <c r="N102">
        <v>0</v>
      </c>
      <c r="O102">
        <v>123</v>
      </c>
      <c r="P102">
        <v>0</v>
      </c>
      <c r="Q102">
        <v>0</v>
      </c>
      <c r="R102">
        <v>123</v>
      </c>
      <c r="S102">
        <v>0</v>
      </c>
      <c r="T102" s="8"/>
      <c r="U102" s="35">
        <v>95</v>
      </c>
      <c r="V102" s="8" t="s">
        <v>584</v>
      </c>
      <c r="W102" s="8">
        <v>0</v>
      </c>
      <c r="X102" s="8">
        <v>0</v>
      </c>
      <c r="Y102" s="8">
        <v>16320</v>
      </c>
      <c r="Z102" s="8">
        <v>0</v>
      </c>
      <c r="AA102" s="8">
        <v>0</v>
      </c>
      <c r="AB102" s="8">
        <v>16320</v>
      </c>
      <c r="AC102" s="8">
        <v>0</v>
      </c>
      <c r="AD102" s="8"/>
      <c r="AE102" s="16">
        <f t="shared" si="7"/>
        <v>0</v>
      </c>
      <c r="AF102" s="16">
        <f t="shared" si="8"/>
        <v>0</v>
      </c>
      <c r="AG102" s="16">
        <f t="shared" si="9"/>
        <v>0</v>
      </c>
      <c r="AH102" s="16">
        <f t="shared" si="10"/>
        <v>0</v>
      </c>
      <c r="AI102" s="16">
        <f t="shared" si="11"/>
        <v>1</v>
      </c>
      <c r="AJ102" s="16">
        <f t="shared" si="12"/>
        <v>0</v>
      </c>
      <c r="AK102" t="str">
        <f t="shared" si="13"/>
        <v>no</v>
      </c>
    </row>
    <row r="103" spans="1:37" x14ac:dyDescent="0.2">
      <c r="A103" s="35"/>
      <c r="B103" s="8"/>
      <c r="C103" s="8"/>
      <c r="D103" s="8"/>
      <c r="E103" s="8"/>
      <c r="F103" s="8"/>
      <c r="G103" s="8"/>
      <c r="H103" s="8"/>
      <c r="I103" s="8"/>
      <c r="K103" s="16">
        <v>96</v>
      </c>
      <c r="L103" t="s">
        <v>753</v>
      </c>
      <c r="M103">
        <v>0</v>
      </c>
      <c r="N103">
        <v>0</v>
      </c>
      <c r="O103">
        <v>123</v>
      </c>
      <c r="P103">
        <v>0</v>
      </c>
      <c r="Q103">
        <v>0</v>
      </c>
      <c r="R103">
        <v>123</v>
      </c>
      <c r="S103">
        <v>0</v>
      </c>
      <c r="T103" s="8"/>
      <c r="U103" s="35">
        <v>96</v>
      </c>
      <c r="V103" s="8" t="s">
        <v>753</v>
      </c>
      <c r="W103" s="8">
        <v>0</v>
      </c>
      <c r="X103" s="8">
        <v>0</v>
      </c>
      <c r="Y103" s="8">
        <v>16320</v>
      </c>
      <c r="Z103" s="8">
        <v>0</v>
      </c>
      <c r="AA103" s="8">
        <v>0</v>
      </c>
      <c r="AB103" s="8">
        <v>16320</v>
      </c>
      <c r="AC103" s="8">
        <v>0</v>
      </c>
      <c r="AD103" s="8"/>
      <c r="AE103" s="16">
        <f t="shared" si="7"/>
        <v>0</v>
      </c>
      <c r="AF103" s="16">
        <f t="shared" si="8"/>
        <v>0</v>
      </c>
      <c r="AG103" s="16">
        <f t="shared" si="9"/>
        <v>0</v>
      </c>
      <c r="AH103" s="16">
        <f t="shared" si="10"/>
        <v>0</v>
      </c>
      <c r="AI103" s="16">
        <f t="shared" si="11"/>
        <v>1</v>
      </c>
      <c r="AJ103" s="16">
        <f t="shared" si="12"/>
        <v>0</v>
      </c>
      <c r="AK103" t="str">
        <f t="shared" si="13"/>
        <v>no</v>
      </c>
    </row>
    <row r="104" spans="1:37" x14ac:dyDescent="0.2">
      <c r="A104" s="35"/>
      <c r="B104" s="8"/>
      <c r="C104" s="8"/>
      <c r="D104" s="8"/>
      <c r="E104" s="8"/>
      <c r="F104" s="8"/>
      <c r="G104" s="8"/>
      <c r="H104" s="8"/>
      <c r="I104" s="8"/>
      <c r="K104" s="16">
        <v>97</v>
      </c>
      <c r="L104" t="s">
        <v>585</v>
      </c>
      <c r="M104">
        <v>0</v>
      </c>
      <c r="N104">
        <v>0</v>
      </c>
      <c r="O104">
        <v>123</v>
      </c>
      <c r="P104">
        <v>0</v>
      </c>
      <c r="Q104">
        <v>0</v>
      </c>
      <c r="R104">
        <v>123</v>
      </c>
      <c r="S104">
        <v>0</v>
      </c>
      <c r="T104" s="8"/>
      <c r="U104" s="35">
        <v>97</v>
      </c>
      <c r="V104" s="8" t="s">
        <v>585</v>
      </c>
      <c r="W104" s="8">
        <v>0</v>
      </c>
      <c r="X104" s="8">
        <v>0</v>
      </c>
      <c r="Y104" s="8">
        <v>16320</v>
      </c>
      <c r="Z104" s="8">
        <v>0</v>
      </c>
      <c r="AA104" s="8">
        <v>0</v>
      </c>
      <c r="AB104" s="8">
        <v>16320</v>
      </c>
      <c r="AC104" s="8">
        <v>0</v>
      </c>
      <c r="AD104" s="8"/>
      <c r="AE104" s="16">
        <f t="shared" si="7"/>
        <v>0</v>
      </c>
      <c r="AF104" s="16">
        <f t="shared" si="8"/>
        <v>0</v>
      </c>
      <c r="AG104" s="16">
        <f t="shared" si="9"/>
        <v>0</v>
      </c>
      <c r="AH104" s="16">
        <f t="shared" si="10"/>
        <v>0</v>
      </c>
      <c r="AI104" s="16">
        <f t="shared" si="11"/>
        <v>1</v>
      </c>
      <c r="AJ104" s="16">
        <f t="shared" si="12"/>
        <v>0</v>
      </c>
      <c r="AK104" t="str">
        <f t="shared" si="13"/>
        <v>no</v>
      </c>
    </row>
    <row r="105" spans="1:37" x14ac:dyDescent="0.2">
      <c r="A105" s="35"/>
      <c r="B105" s="8"/>
      <c r="C105" s="8"/>
      <c r="D105" s="8"/>
      <c r="E105" s="8"/>
      <c r="F105" s="8"/>
      <c r="G105" s="8"/>
      <c r="H105" s="8"/>
      <c r="I105" s="8"/>
      <c r="K105" s="16">
        <v>98</v>
      </c>
      <c r="L105" t="s">
        <v>586</v>
      </c>
      <c r="M105">
        <v>0</v>
      </c>
      <c r="N105">
        <v>0</v>
      </c>
      <c r="O105">
        <v>123</v>
      </c>
      <c r="P105">
        <v>0</v>
      </c>
      <c r="Q105">
        <v>0</v>
      </c>
      <c r="R105">
        <v>123</v>
      </c>
      <c r="S105">
        <v>0</v>
      </c>
      <c r="T105" s="8"/>
      <c r="U105" s="35">
        <v>98</v>
      </c>
      <c r="V105" s="8" t="s">
        <v>586</v>
      </c>
      <c r="W105" s="8">
        <v>0</v>
      </c>
      <c r="X105" s="8">
        <v>0</v>
      </c>
      <c r="Y105" s="8">
        <v>16320</v>
      </c>
      <c r="Z105" s="8">
        <v>0</v>
      </c>
      <c r="AA105" s="8">
        <v>0</v>
      </c>
      <c r="AB105" s="8">
        <v>16320</v>
      </c>
      <c r="AC105" s="8">
        <v>0</v>
      </c>
      <c r="AD105" s="8"/>
      <c r="AE105" s="16">
        <f t="shared" si="7"/>
        <v>0</v>
      </c>
      <c r="AF105" s="16">
        <f t="shared" si="8"/>
        <v>0</v>
      </c>
      <c r="AG105" s="16">
        <f t="shared" si="9"/>
        <v>0</v>
      </c>
      <c r="AH105" s="16">
        <f t="shared" si="10"/>
        <v>0</v>
      </c>
      <c r="AI105" s="16">
        <f t="shared" si="11"/>
        <v>1</v>
      </c>
      <c r="AJ105" s="16">
        <f t="shared" si="12"/>
        <v>0</v>
      </c>
      <c r="AK105" t="str">
        <f t="shared" si="13"/>
        <v>no</v>
      </c>
    </row>
    <row r="106" spans="1:37" x14ac:dyDescent="0.2">
      <c r="A106" s="35"/>
      <c r="B106" s="8"/>
      <c r="C106" s="8"/>
      <c r="D106" s="8"/>
      <c r="E106" s="8"/>
      <c r="F106" s="8"/>
      <c r="G106" s="8"/>
      <c r="H106" s="8"/>
      <c r="I106" s="8"/>
      <c r="K106" s="16">
        <v>99</v>
      </c>
      <c r="L106" t="s">
        <v>587</v>
      </c>
      <c r="M106">
        <v>0</v>
      </c>
      <c r="N106">
        <v>0</v>
      </c>
      <c r="O106">
        <v>123</v>
      </c>
      <c r="P106">
        <v>0</v>
      </c>
      <c r="Q106">
        <v>0</v>
      </c>
      <c r="R106">
        <v>123</v>
      </c>
      <c r="S106">
        <v>0</v>
      </c>
      <c r="T106" s="8"/>
      <c r="U106" s="35">
        <v>99</v>
      </c>
      <c r="V106" s="8" t="s">
        <v>587</v>
      </c>
      <c r="W106" s="8">
        <v>15463</v>
      </c>
      <c r="X106" s="8">
        <v>8</v>
      </c>
      <c r="Y106" s="8">
        <v>849</v>
      </c>
      <c r="Z106" s="8">
        <v>94.75</v>
      </c>
      <c r="AA106" s="8">
        <v>1933</v>
      </c>
      <c r="AB106" s="8">
        <v>14379</v>
      </c>
      <c r="AC106" s="8">
        <v>11.84</v>
      </c>
      <c r="AD106" s="8"/>
      <c r="AE106" s="16">
        <f t="shared" si="7"/>
        <v>0</v>
      </c>
      <c r="AF106" s="16">
        <f t="shared" si="8"/>
        <v>0</v>
      </c>
      <c r="AG106" s="16">
        <f t="shared" si="9"/>
        <v>1</v>
      </c>
      <c r="AH106" s="16">
        <f t="shared" si="10"/>
        <v>1</v>
      </c>
      <c r="AI106" s="16">
        <f t="shared" si="11"/>
        <v>0</v>
      </c>
      <c r="AJ106" s="16">
        <f t="shared" si="12"/>
        <v>1</v>
      </c>
      <c r="AK106" t="str">
        <f t="shared" si="13"/>
        <v>yes</v>
      </c>
    </row>
    <row r="107" spans="1:37" x14ac:dyDescent="0.2">
      <c r="A107" s="35"/>
      <c r="B107" s="8"/>
      <c r="C107" s="8"/>
      <c r="D107" s="8"/>
      <c r="E107" s="8"/>
      <c r="F107" s="8"/>
      <c r="G107" s="8"/>
      <c r="H107" s="8"/>
      <c r="I107" s="8"/>
      <c r="K107" s="16">
        <v>100</v>
      </c>
      <c r="L107" t="s">
        <v>588</v>
      </c>
      <c r="M107">
        <v>0</v>
      </c>
      <c r="N107">
        <v>0</v>
      </c>
      <c r="O107">
        <v>123</v>
      </c>
      <c r="P107">
        <v>0</v>
      </c>
      <c r="Q107">
        <v>0</v>
      </c>
      <c r="R107">
        <v>123</v>
      </c>
      <c r="S107">
        <v>0</v>
      </c>
      <c r="T107" s="8"/>
      <c r="U107" s="35">
        <v>100</v>
      </c>
      <c r="V107" s="8" t="s">
        <v>588</v>
      </c>
      <c r="W107" s="8">
        <v>0</v>
      </c>
      <c r="X107" s="8">
        <v>0</v>
      </c>
      <c r="Y107" s="8">
        <v>16320</v>
      </c>
      <c r="Z107" s="8">
        <v>0</v>
      </c>
      <c r="AA107" s="8">
        <v>0</v>
      </c>
      <c r="AB107" s="8">
        <v>16320</v>
      </c>
      <c r="AC107" s="8">
        <v>0</v>
      </c>
      <c r="AD107" s="8"/>
      <c r="AE107" s="16">
        <f t="shared" si="7"/>
        <v>0</v>
      </c>
      <c r="AF107" s="16">
        <f t="shared" si="8"/>
        <v>0</v>
      </c>
      <c r="AG107" s="16">
        <f t="shared" si="9"/>
        <v>0</v>
      </c>
      <c r="AH107" s="16">
        <f t="shared" si="10"/>
        <v>0</v>
      </c>
      <c r="AI107" s="16">
        <f t="shared" si="11"/>
        <v>1</v>
      </c>
      <c r="AJ107" s="16">
        <f t="shared" si="12"/>
        <v>0</v>
      </c>
      <c r="AK107" t="str">
        <f t="shared" si="13"/>
        <v>no</v>
      </c>
    </row>
    <row r="108" spans="1:37" x14ac:dyDescent="0.2">
      <c r="A108" s="35"/>
      <c r="B108" s="8"/>
      <c r="C108" s="8"/>
      <c r="D108" s="8"/>
      <c r="E108" s="8"/>
      <c r="F108" s="8"/>
      <c r="G108" s="8"/>
      <c r="H108" s="8"/>
      <c r="I108" s="8"/>
      <c r="K108" s="16">
        <v>101</v>
      </c>
      <c r="L108" t="s">
        <v>589</v>
      </c>
      <c r="M108">
        <v>0</v>
      </c>
      <c r="N108">
        <v>0</v>
      </c>
      <c r="O108">
        <v>123</v>
      </c>
      <c r="P108">
        <v>0</v>
      </c>
      <c r="Q108">
        <v>0</v>
      </c>
      <c r="R108">
        <v>123</v>
      </c>
      <c r="S108">
        <v>0</v>
      </c>
      <c r="T108" s="8"/>
      <c r="U108" s="35">
        <v>101</v>
      </c>
      <c r="V108" s="8" t="s">
        <v>589</v>
      </c>
      <c r="W108" s="8">
        <v>0</v>
      </c>
      <c r="X108" s="8">
        <v>0</v>
      </c>
      <c r="Y108" s="8">
        <v>16320</v>
      </c>
      <c r="Z108" s="8">
        <v>0</v>
      </c>
      <c r="AA108" s="8">
        <v>0</v>
      </c>
      <c r="AB108" s="8">
        <v>16320</v>
      </c>
      <c r="AC108" s="8">
        <v>0</v>
      </c>
      <c r="AD108" s="8"/>
      <c r="AE108" s="16">
        <f t="shared" si="7"/>
        <v>0</v>
      </c>
      <c r="AF108" s="16">
        <f t="shared" si="8"/>
        <v>0</v>
      </c>
      <c r="AG108" s="16">
        <f t="shared" si="9"/>
        <v>0</v>
      </c>
      <c r="AH108" s="16">
        <f t="shared" si="10"/>
        <v>0</v>
      </c>
      <c r="AI108" s="16">
        <f t="shared" si="11"/>
        <v>1</v>
      </c>
      <c r="AJ108" s="16">
        <f t="shared" si="12"/>
        <v>0</v>
      </c>
      <c r="AK108" t="str">
        <f t="shared" si="13"/>
        <v>no</v>
      </c>
    </row>
    <row r="109" spans="1:37" x14ac:dyDescent="0.2">
      <c r="A109" s="35"/>
      <c r="B109" s="8"/>
      <c r="C109" s="8"/>
      <c r="D109" s="8"/>
      <c r="E109" s="8"/>
      <c r="F109" s="8"/>
      <c r="G109" s="8"/>
      <c r="H109" s="8"/>
      <c r="I109" s="8"/>
      <c r="K109" s="16">
        <v>102</v>
      </c>
      <c r="L109" t="s">
        <v>590</v>
      </c>
      <c r="M109">
        <v>0</v>
      </c>
      <c r="N109">
        <v>0</v>
      </c>
      <c r="O109">
        <v>123</v>
      </c>
      <c r="P109">
        <v>0</v>
      </c>
      <c r="Q109">
        <v>0</v>
      </c>
      <c r="R109">
        <v>123</v>
      </c>
      <c r="S109">
        <v>0</v>
      </c>
      <c r="T109" s="8"/>
      <c r="U109" s="35">
        <v>102</v>
      </c>
      <c r="V109" s="8" t="s">
        <v>590</v>
      </c>
      <c r="W109" s="8">
        <v>0</v>
      </c>
      <c r="X109" s="8">
        <v>0</v>
      </c>
      <c r="Y109" s="8">
        <v>16320</v>
      </c>
      <c r="Z109" s="8">
        <v>0</v>
      </c>
      <c r="AA109" s="8">
        <v>0</v>
      </c>
      <c r="AB109" s="8">
        <v>16320</v>
      </c>
      <c r="AC109" s="8">
        <v>0</v>
      </c>
      <c r="AD109" s="8"/>
      <c r="AE109" s="16">
        <f t="shared" si="7"/>
        <v>0</v>
      </c>
      <c r="AF109" s="16">
        <f t="shared" si="8"/>
        <v>0</v>
      </c>
      <c r="AG109" s="16">
        <f t="shared" si="9"/>
        <v>0</v>
      </c>
      <c r="AH109" s="16">
        <f t="shared" si="10"/>
        <v>0</v>
      </c>
      <c r="AI109" s="16">
        <f t="shared" si="11"/>
        <v>1</v>
      </c>
      <c r="AJ109" s="16">
        <f t="shared" si="12"/>
        <v>0</v>
      </c>
      <c r="AK109" t="str">
        <f t="shared" si="13"/>
        <v>no</v>
      </c>
    </row>
    <row r="110" spans="1:37" x14ac:dyDescent="0.2">
      <c r="A110" s="35"/>
      <c r="B110" s="8"/>
      <c r="C110" s="8"/>
      <c r="D110" s="8"/>
      <c r="E110" s="8"/>
      <c r="F110" s="8"/>
      <c r="G110" s="8"/>
      <c r="H110" s="8"/>
      <c r="I110" s="8"/>
      <c r="K110" s="16">
        <v>103</v>
      </c>
      <c r="L110" t="s">
        <v>591</v>
      </c>
      <c r="M110">
        <v>0</v>
      </c>
      <c r="N110">
        <v>0</v>
      </c>
      <c r="O110">
        <v>123</v>
      </c>
      <c r="P110">
        <v>0</v>
      </c>
      <c r="Q110">
        <v>0</v>
      </c>
      <c r="R110">
        <v>123</v>
      </c>
      <c r="S110">
        <v>0</v>
      </c>
      <c r="T110" s="8"/>
      <c r="U110" s="35">
        <v>103</v>
      </c>
      <c r="V110" s="8" t="s">
        <v>591</v>
      </c>
      <c r="W110" s="8">
        <v>0</v>
      </c>
      <c r="X110" s="8">
        <v>0</v>
      </c>
      <c r="Y110" s="8">
        <v>16320</v>
      </c>
      <c r="Z110" s="8">
        <v>0</v>
      </c>
      <c r="AA110" s="8">
        <v>0</v>
      </c>
      <c r="AB110" s="8">
        <v>16320</v>
      </c>
      <c r="AC110" s="8">
        <v>0</v>
      </c>
      <c r="AD110" s="8"/>
      <c r="AE110" s="16">
        <f t="shared" si="7"/>
        <v>0</v>
      </c>
      <c r="AF110" s="16">
        <f t="shared" si="8"/>
        <v>0</v>
      </c>
      <c r="AG110" s="16">
        <f t="shared" si="9"/>
        <v>0</v>
      </c>
      <c r="AH110" s="16">
        <f t="shared" si="10"/>
        <v>0</v>
      </c>
      <c r="AI110" s="16">
        <f t="shared" si="11"/>
        <v>1</v>
      </c>
      <c r="AJ110" s="16">
        <f t="shared" si="12"/>
        <v>0</v>
      </c>
      <c r="AK110" t="str">
        <f t="shared" si="13"/>
        <v>no</v>
      </c>
    </row>
    <row r="111" spans="1:37" x14ac:dyDescent="0.2">
      <c r="A111" s="35"/>
      <c r="B111" s="8"/>
      <c r="C111" s="8"/>
      <c r="D111" s="8"/>
      <c r="E111" s="8"/>
      <c r="F111" s="8"/>
      <c r="G111" s="8"/>
      <c r="H111" s="8"/>
      <c r="I111" s="8"/>
      <c r="K111" s="16">
        <v>104</v>
      </c>
      <c r="L111" t="s">
        <v>592</v>
      </c>
      <c r="M111">
        <v>0</v>
      </c>
      <c r="N111">
        <v>0</v>
      </c>
      <c r="O111">
        <v>123</v>
      </c>
      <c r="P111">
        <v>0</v>
      </c>
      <c r="Q111">
        <v>0</v>
      </c>
      <c r="R111">
        <v>123</v>
      </c>
      <c r="S111">
        <v>0</v>
      </c>
      <c r="T111" s="8"/>
      <c r="U111" s="35">
        <v>104</v>
      </c>
      <c r="V111" s="8" t="s">
        <v>592</v>
      </c>
      <c r="W111" s="8">
        <v>0</v>
      </c>
      <c r="X111" s="8">
        <v>0</v>
      </c>
      <c r="Y111" s="8">
        <v>16320</v>
      </c>
      <c r="Z111" s="8">
        <v>0</v>
      </c>
      <c r="AA111" s="8">
        <v>0</v>
      </c>
      <c r="AB111" s="8">
        <v>16320</v>
      </c>
      <c r="AC111" s="8">
        <v>0</v>
      </c>
      <c r="AD111" s="8"/>
      <c r="AE111" s="16">
        <f t="shared" si="7"/>
        <v>0</v>
      </c>
      <c r="AF111" s="16">
        <f t="shared" si="8"/>
        <v>0</v>
      </c>
      <c r="AG111" s="16">
        <f t="shared" si="9"/>
        <v>0</v>
      </c>
      <c r="AH111" s="16">
        <f t="shared" si="10"/>
        <v>0</v>
      </c>
      <c r="AI111" s="16">
        <f t="shared" si="11"/>
        <v>1</v>
      </c>
      <c r="AJ111" s="16">
        <f t="shared" si="12"/>
        <v>0</v>
      </c>
      <c r="AK111" t="str">
        <f t="shared" si="13"/>
        <v>no</v>
      </c>
    </row>
    <row r="112" spans="1:37" x14ac:dyDescent="0.2">
      <c r="A112" s="35"/>
      <c r="B112" s="8"/>
      <c r="C112" s="8"/>
      <c r="D112" s="8"/>
      <c r="E112" s="8"/>
      <c r="F112" s="8"/>
      <c r="G112" s="8"/>
      <c r="H112" s="8"/>
      <c r="I112" s="8"/>
      <c r="K112" s="16">
        <v>105</v>
      </c>
      <c r="L112" t="s">
        <v>593</v>
      </c>
      <c r="M112">
        <v>0</v>
      </c>
      <c r="N112">
        <v>0</v>
      </c>
      <c r="O112">
        <v>123</v>
      </c>
      <c r="P112">
        <v>0</v>
      </c>
      <c r="Q112">
        <v>0</v>
      </c>
      <c r="R112">
        <v>123</v>
      </c>
      <c r="S112">
        <v>0</v>
      </c>
      <c r="T112" s="8"/>
      <c r="U112" s="35">
        <v>105</v>
      </c>
      <c r="V112" s="8" t="s">
        <v>593</v>
      </c>
      <c r="W112" s="8">
        <v>0</v>
      </c>
      <c r="X112" s="8">
        <v>0</v>
      </c>
      <c r="Y112" s="8">
        <v>16320</v>
      </c>
      <c r="Z112" s="8">
        <v>0</v>
      </c>
      <c r="AA112" s="8">
        <v>0</v>
      </c>
      <c r="AB112" s="8">
        <v>16320</v>
      </c>
      <c r="AC112" s="8">
        <v>0</v>
      </c>
      <c r="AD112" s="8"/>
      <c r="AE112" s="16">
        <f t="shared" si="7"/>
        <v>0</v>
      </c>
      <c r="AF112" s="16">
        <f t="shared" si="8"/>
        <v>0</v>
      </c>
      <c r="AG112" s="16">
        <f t="shared" si="9"/>
        <v>0</v>
      </c>
      <c r="AH112" s="16">
        <f t="shared" si="10"/>
        <v>0</v>
      </c>
      <c r="AI112" s="16">
        <f t="shared" si="11"/>
        <v>1</v>
      </c>
      <c r="AJ112" s="16">
        <f t="shared" si="12"/>
        <v>0</v>
      </c>
      <c r="AK112" t="str">
        <f t="shared" si="13"/>
        <v>no</v>
      </c>
    </row>
    <row r="113" spans="1:37" x14ac:dyDescent="0.2">
      <c r="A113" s="35"/>
      <c r="B113" s="8"/>
      <c r="C113" s="8"/>
      <c r="D113" s="8"/>
      <c r="E113" s="8"/>
      <c r="F113" s="8"/>
      <c r="G113" s="8"/>
      <c r="H113" s="8"/>
      <c r="I113" s="8"/>
      <c r="K113" s="16">
        <v>106</v>
      </c>
      <c r="L113" t="s">
        <v>594</v>
      </c>
      <c r="M113">
        <v>0</v>
      </c>
      <c r="N113">
        <v>0</v>
      </c>
      <c r="O113">
        <v>123</v>
      </c>
      <c r="P113">
        <v>0</v>
      </c>
      <c r="Q113">
        <v>0</v>
      </c>
      <c r="R113">
        <v>123</v>
      </c>
      <c r="S113">
        <v>0</v>
      </c>
      <c r="T113" s="8"/>
      <c r="U113" s="35">
        <v>106</v>
      </c>
      <c r="V113" s="8" t="s">
        <v>594</v>
      </c>
      <c r="W113" s="8">
        <v>0</v>
      </c>
      <c r="X113" s="8">
        <v>0</v>
      </c>
      <c r="Y113" s="8">
        <v>16320</v>
      </c>
      <c r="Z113" s="8">
        <v>0</v>
      </c>
      <c r="AA113" s="8">
        <v>0</v>
      </c>
      <c r="AB113" s="8">
        <v>16320</v>
      </c>
      <c r="AC113" s="8">
        <v>0</v>
      </c>
      <c r="AD113" s="8"/>
      <c r="AE113" s="16">
        <f t="shared" si="7"/>
        <v>0</v>
      </c>
      <c r="AF113" s="16">
        <f t="shared" si="8"/>
        <v>0</v>
      </c>
      <c r="AG113" s="16">
        <f t="shared" si="9"/>
        <v>0</v>
      </c>
      <c r="AH113" s="16">
        <f t="shared" si="10"/>
        <v>0</v>
      </c>
      <c r="AI113" s="16">
        <f t="shared" si="11"/>
        <v>1</v>
      </c>
      <c r="AJ113" s="16">
        <f t="shared" si="12"/>
        <v>0</v>
      </c>
      <c r="AK113" t="str">
        <f t="shared" si="13"/>
        <v>no</v>
      </c>
    </row>
    <row r="114" spans="1:37" x14ac:dyDescent="0.2">
      <c r="A114" s="35"/>
      <c r="B114" s="8"/>
      <c r="C114" s="8"/>
      <c r="D114" s="8"/>
      <c r="E114" s="8"/>
      <c r="F114" s="8"/>
      <c r="G114" s="8"/>
      <c r="H114" s="8"/>
      <c r="I114" s="8"/>
      <c r="K114" s="16">
        <v>107</v>
      </c>
      <c r="L114" t="s">
        <v>595</v>
      </c>
      <c r="M114">
        <v>0</v>
      </c>
      <c r="N114">
        <v>0</v>
      </c>
      <c r="O114">
        <v>123</v>
      </c>
      <c r="P114">
        <v>0</v>
      </c>
      <c r="Q114">
        <v>0</v>
      </c>
      <c r="R114">
        <v>123</v>
      </c>
      <c r="S114">
        <v>0</v>
      </c>
      <c r="T114" s="8"/>
      <c r="U114" s="35">
        <v>107</v>
      </c>
      <c r="V114" s="8" t="s">
        <v>595</v>
      </c>
      <c r="W114" s="8">
        <v>16073</v>
      </c>
      <c r="X114" s="8">
        <v>2</v>
      </c>
      <c r="Y114" s="8">
        <v>245</v>
      </c>
      <c r="Z114" s="8">
        <v>98.49</v>
      </c>
      <c r="AA114" s="8">
        <v>2018</v>
      </c>
      <c r="AB114" s="8">
        <v>14300</v>
      </c>
      <c r="AC114" s="8">
        <v>12.37</v>
      </c>
      <c r="AD114" s="8"/>
      <c r="AE114" s="16">
        <f t="shared" si="7"/>
        <v>0</v>
      </c>
      <c r="AF114" s="16">
        <f t="shared" si="8"/>
        <v>0</v>
      </c>
      <c r="AG114" s="16">
        <f t="shared" si="9"/>
        <v>1</v>
      </c>
      <c r="AH114" s="16">
        <f t="shared" si="10"/>
        <v>1</v>
      </c>
      <c r="AI114" s="16">
        <f t="shared" si="11"/>
        <v>0</v>
      </c>
      <c r="AJ114" s="16">
        <f t="shared" si="12"/>
        <v>1</v>
      </c>
      <c r="AK114" t="str">
        <f t="shared" si="13"/>
        <v>yes</v>
      </c>
    </row>
    <row r="115" spans="1:37" x14ac:dyDescent="0.2">
      <c r="A115" s="35"/>
      <c r="B115" s="8"/>
      <c r="C115" s="8"/>
      <c r="D115" s="8"/>
      <c r="E115" s="8"/>
      <c r="F115" s="8"/>
      <c r="G115" s="8"/>
      <c r="H115" s="8"/>
      <c r="I115" s="8"/>
      <c r="K115" s="16">
        <v>108</v>
      </c>
      <c r="L115" t="s">
        <v>596</v>
      </c>
      <c r="M115">
        <v>0</v>
      </c>
      <c r="N115">
        <v>0</v>
      </c>
      <c r="O115">
        <v>123</v>
      </c>
      <c r="P115">
        <v>0</v>
      </c>
      <c r="Q115">
        <v>0</v>
      </c>
      <c r="R115">
        <v>123</v>
      </c>
      <c r="S115">
        <v>0</v>
      </c>
      <c r="T115" s="8"/>
      <c r="U115" s="35">
        <v>108</v>
      </c>
      <c r="V115" s="8" t="s">
        <v>596</v>
      </c>
      <c r="W115" s="8">
        <v>0</v>
      </c>
      <c r="X115" s="8">
        <v>0</v>
      </c>
      <c r="Y115" s="8">
        <v>16320</v>
      </c>
      <c r="Z115" s="8">
        <v>0</v>
      </c>
      <c r="AA115" s="8">
        <v>0</v>
      </c>
      <c r="AB115" s="8">
        <v>16320</v>
      </c>
      <c r="AC115" s="8">
        <v>0</v>
      </c>
      <c r="AD115" s="8"/>
      <c r="AE115" s="16">
        <f t="shared" si="7"/>
        <v>0</v>
      </c>
      <c r="AF115" s="16">
        <f t="shared" si="8"/>
        <v>0</v>
      </c>
      <c r="AG115" s="16">
        <f t="shared" si="9"/>
        <v>0</v>
      </c>
      <c r="AH115" s="16">
        <f t="shared" si="10"/>
        <v>0</v>
      </c>
      <c r="AI115" s="16">
        <f t="shared" si="11"/>
        <v>1</v>
      </c>
      <c r="AJ115" s="16">
        <f t="shared" si="12"/>
        <v>0</v>
      </c>
      <c r="AK115" t="str">
        <f t="shared" si="13"/>
        <v>no</v>
      </c>
    </row>
    <row r="116" spans="1:37" x14ac:dyDescent="0.2">
      <c r="A116" s="35"/>
      <c r="B116" s="8"/>
      <c r="C116" s="8"/>
      <c r="D116" s="8"/>
      <c r="E116" s="8"/>
      <c r="F116" s="8"/>
      <c r="G116" s="8"/>
      <c r="H116" s="8"/>
      <c r="I116" s="8"/>
      <c r="K116" s="16">
        <v>109</v>
      </c>
      <c r="L116" t="s">
        <v>597</v>
      </c>
      <c r="M116">
        <v>0</v>
      </c>
      <c r="N116">
        <v>0</v>
      </c>
      <c r="O116">
        <v>123</v>
      </c>
      <c r="P116">
        <v>0</v>
      </c>
      <c r="Q116">
        <v>0</v>
      </c>
      <c r="R116">
        <v>123</v>
      </c>
      <c r="S116">
        <v>0</v>
      </c>
      <c r="T116" s="8"/>
      <c r="U116" s="35">
        <v>109</v>
      </c>
      <c r="V116" s="8" t="s">
        <v>597</v>
      </c>
      <c r="W116" s="8">
        <v>0</v>
      </c>
      <c r="X116" s="8">
        <v>0</v>
      </c>
      <c r="Y116" s="8">
        <v>16320</v>
      </c>
      <c r="Z116" s="8">
        <v>0</v>
      </c>
      <c r="AA116" s="8">
        <v>0</v>
      </c>
      <c r="AB116" s="8">
        <v>16320</v>
      </c>
      <c r="AC116" s="8">
        <v>0</v>
      </c>
      <c r="AD116" s="8"/>
      <c r="AE116" s="16">
        <f t="shared" si="7"/>
        <v>0</v>
      </c>
      <c r="AF116" s="16">
        <f t="shared" si="8"/>
        <v>0</v>
      </c>
      <c r="AG116" s="16">
        <f t="shared" si="9"/>
        <v>0</v>
      </c>
      <c r="AH116" s="16">
        <f t="shared" si="10"/>
        <v>0</v>
      </c>
      <c r="AI116" s="16">
        <f t="shared" si="11"/>
        <v>1</v>
      </c>
      <c r="AJ116" s="16">
        <f t="shared" si="12"/>
        <v>0</v>
      </c>
      <c r="AK116" t="str">
        <f t="shared" si="13"/>
        <v>no</v>
      </c>
    </row>
    <row r="117" spans="1:37" x14ac:dyDescent="0.2">
      <c r="A117" s="35"/>
      <c r="B117" s="8"/>
      <c r="C117" s="8"/>
      <c r="D117" s="8"/>
      <c r="E117" s="8"/>
      <c r="F117" s="8"/>
      <c r="G117" s="8"/>
      <c r="H117" s="8"/>
      <c r="I117" s="8"/>
      <c r="K117" s="16">
        <v>110</v>
      </c>
      <c r="L117" t="s">
        <v>598</v>
      </c>
      <c r="M117">
        <v>106</v>
      </c>
      <c r="N117">
        <v>0</v>
      </c>
      <c r="O117">
        <v>17</v>
      </c>
      <c r="P117">
        <v>86.18</v>
      </c>
      <c r="Q117">
        <v>101</v>
      </c>
      <c r="R117">
        <v>22</v>
      </c>
      <c r="S117">
        <v>82.11</v>
      </c>
      <c r="T117" s="8"/>
      <c r="U117" s="35">
        <v>110</v>
      </c>
      <c r="V117" s="8" t="s">
        <v>598</v>
      </c>
      <c r="W117" s="8">
        <v>16165</v>
      </c>
      <c r="X117" s="8">
        <v>14</v>
      </c>
      <c r="Y117" s="8">
        <v>141</v>
      </c>
      <c r="Z117" s="8">
        <v>99.05</v>
      </c>
      <c r="AA117" s="8">
        <v>2010</v>
      </c>
      <c r="AB117" s="8">
        <v>14296</v>
      </c>
      <c r="AC117" s="8">
        <v>12.32</v>
      </c>
      <c r="AD117" s="8"/>
      <c r="AE117" s="16">
        <f t="shared" si="7"/>
        <v>0</v>
      </c>
      <c r="AF117" s="16">
        <f t="shared" si="8"/>
        <v>1</v>
      </c>
      <c r="AG117" s="16">
        <f t="shared" si="9"/>
        <v>1</v>
      </c>
      <c r="AH117" s="16">
        <f t="shared" si="10"/>
        <v>2</v>
      </c>
      <c r="AI117" s="16">
        <f t="shared" si="11"/>
        <v>0</v>
      </c>
      <c r="AJ117" s="16">
        <f t="shared" si="12"/>
        <v>1</v>
      </c>
      <c r="AK117" t="str">
        <f t="shared" si="13"/>
        <v>yes</v>
      </c>
    </row>
    <row r="118" spans="1:37" x14ac:dyDescent="0.2">
      <c r="A118" s="35"/>
      <c r="B118" s="8"/>
      <c r="C118" s="8"/>
      <c r="D118" s="8"/>
      <c r="E118" s="8"/>
      <c r="F118" s="8"/>
      <c r="G118" s="8"/>
      <c r="H118" s="8"/>
      <c r="I118" s="8"/>
      <c r="K118" s="16">
        <v>111</v>
      </c>
      <c r="L118" t="s">
        <v>599</v>
      </c>
      <c r="M118">
        <v>60</v>
      </c>
      <c r="N118">
        <v>0</v>
      </c>
      <c r="O118">
        <v>63</v>
      </c>
      <c r="P118">
        <v>48.78</v>
      </c>
      <c r="Q118">
        <v>55</v>
      </c>
      <c r="R118">
        <v>68</v>
      </c>
      <c r="S118">
        <v>44.72</v>
      </c>
      <c r="T118" s="8"/>
      <c r="U118" s="35">
        <v>111</v>
      </c>
      <c r="V118" s="8" t="s">
        <v>599</v>
      </c>
      <c r="W118" s="8">
        <v>0</v>
      </c>
      <c r="X118" s="8">
        <v>0</v>
      </c>
      <c r="Y118" s="8">
        <v>16320</v>
      </c>
      <c r="Z118" s="8">
        <v>0</v>
      </c>
      <c r="AA118" s="8">
        <v>0</v>
      </c>
      <c r="AB118" s="8">
        <v>16320</v>
      </c>
      <c r="AC118" s="8">
        <v>0</v>
      </c>
      <c r="AD118" s="8"/>
      <c r="AE118" s="16">
        <f t="shared" si="7"/>
        <v>0</v>
      </c>
      <c r="AF118" s="16">
        <f t="shared" si="8"/>
        <v>1</v>
      </c>
      <c r="AG118" s="16">
        <f t="shared" si="9"/>
        <v>0</v>
      </c>
      <c r="AH118" s="16">
        <f t="shared" si="10"/>
        <v>1</v>
      </c>
      <c r="AI118" s="16">
        <f t="shared" si="11"/>
        <v>0</v>
      </c>
      <c r="AJ118" s="16">
        <f t="shared" si="12"/>
        <v>1</v>
      </c>
      <c r="AK118" t="str">
        <f t="shared" si="13"/>
        <v>yes</v>
      </c>
    </row>
    <row r="119" spans="1:37" x14ac:dyDescent="0.2">
      <c r="A119" s="35"/>
      <c r="B119" s="8"/>
      <c r="C119" s="8"/>
      <c r="D119" s="8"/>
      <c r="E119" s="8"/>
      <c r="F119" s="8"/>
      <c r="G119" s="8"/>
      <c r="H119" s="8"/>
      <c r="I119" s="8"/>
      <c r="K119" s="16">
        <v>112</v>
      </c>
      <c r="L119" t="s">
        <v>600</v>
      </c>
      <c r="M119">
        <v>63</v>
      </c>
      <c r="N119">
        <v>0</v>
      </c>
      <c r="O119">
        <v>60</v>
      </c>
      <c r="P119">
        <v>51.22</v>
      </c>
      <c r="Q119">
        <v>58</v>
      </c>
      <c r="R119">
        <v>65</v>
      </c>
      <c r="S119">
        <v>47.15</v>
      </c>
      <c r="T119" s="8"/>
      <c r="U119" s="35">
        <v>112</v>
      </c>
      <c r="V119" s="8" t="s">
        <v>600</v>
      </c>
      <c r="W119" s="8">
        <v>0</v>
      </c>
      <c r="X119" s="8">
        <v>0</v>
      </c>
      <c r="Y119" s="8">
        <v>16320</v>
      </c>
      <c r="Z119" s="8">
        <v>0</v>
      </c>
      <c r="AA119" s="8">
        <v>0</v>
      </c>
      <c r="AB119" s="8">
        <v>16320</v>
      </c>
      <c r="AC119" s="8">
        <v>0</v>
      </c>
      <c r="AD119" s="8"/>
      <c r="AE119" s="16">
        <f t="shared" si="7"/>
        <v>0</v>
      </c>
      <c r="AF119" s="16">
        <f t="shared" si="8"/>
        <v>1</v>
      </c>
      <c r="AG119" s="16">
        <f t="shared" si="9"/>
        <v>0</v>
      </c>
      <c r="AH119" s="16">
        <f t="shared" si="10"/>
        <v>1</v>
      </c>
      <c r="AI119" s="16">
        <f t="shared" si="11"/>
        <v>0</v>
      </c>
      <c r="AJ119" s="16">
        <f t="shared" si="12"/>
        <v>1</v>
      </c>
      <c r="AK119" t="str">
        <f t="shared" si="13"/>
        <v>yes</v>
      </c>
    </row>
    <row r="120" spans="1:37" x14ac:dyDescent="0.2">
      <c r="A120" s="35"/>
      <c r="B120" s="8"/>
      <c r="C120" s="8"/>
      <c r="D120" s="8"/>
      <c r="E120" s="8"/>
      <c r="F120" s="8"/>
      <c r="G120" s="8"/>
      <c r="H120" s="8"/>
      <c r="I120" s="8"/>
      <c r="K120" s="16">
        <v>113</v>
      </c>
      <c r="L120" t="s">
        <v>601</v>
      </c>
      <c r="M120">
        <v>0</v>
      </c>
      <c r="N120">
        <v>0</v>
      </c>
      <c r="O120">
        <v>123</v>
      </c>
      <c r="P120">
        <v>0</v>
      </c>
      <c r="Q120">
        <v>0</v>
      </c>
      <c r="R120">
        <v>123</v>
      </c>
      <c r="S120">
        <v>0</v>
      </c>
      <c r="T120" s="8"/>
      <c r="U120" s="35">
        <v>113</v>
      </c>
      <c r="V120" s="8" t="s">
        <v>601</v>
      </c>
      <c r="W120" s="8">
        <v>13142</v>
      </c>
      <c r="X120" s="8">
        <v>0</v>
      </c>
      <c r="Y120" s="8">
        <v>3178</v>
      </c>
      <c r="Z120" s="8">
        <v>80.53</v>
      </c>
      <c r="AA120" s="8">
        <v>1101</v>
      </c>
      <c r="AB120" s="8">
        <v>15219</v>
      </c>
      <c r="AC120" s="8">
        <v>6.75</v>
      </c>
      <c r="AD120" s="8"/>
      <c r="AE120" s="16">
        <f t="shared" si="7"/>
        <v>0</v>
      </c>
      <c r="AF120" s="16">
        <f t="shared" si="8"/>
        <v>0</v>
      </c>
      <c r="AG120" s="16">
        <f t="shared" si="9"/>
        <v>1</v>
      </c>
      <c r="AH120" s="16">
        <f t="shared" si="10"/>
        <v>1</v>
      </c>
      <c r="AI120" s="16">
        <f t="shared" si="11"/>
        <v>0</v>
      </c>
      <c r="AJ120" s="16">
        <f t="shared" si="12"/>
        <v>1</v>
      </c>
      <c r="AK120" t="str">
        <f t="shared" si="13"/>
        <v>yes</v>
      </c>
    </row>
    <row r="121" spans="1:37" x14ac:dyDescent="0.2">
      <c r="A121" s="35"/>
      <c r="B121" s="8"/>
      <c r="C121" s="8"/>
      <c r="D121" s="8"/>
      <c r="E121" s="8"/>
      <c r="F121" s="8"/>
      <c r="G121" s="8"/>
      <c r="H121" s="8"/>
      <c r="I121" s="8"/>
      <c r="K121" s="16">
        <v>114</v>
      </c>
      <c r="L121" t="s">
        <v>602</v>
      </c>
      <c r="M121">
        <v>95</v>
      </c>
      <c r="N121">
        <v>0</v>
      </c>
      <c r="O121">
        <v>28</v>
      </c>
      <c r="P121">
        <v>77.239999999999995</v>
      </c>
      <c r="Q121">
        <v>90</v>
      </c>
      <c r="R121">
        <v>33</v>
      </c>
      <c r="S121">
        <v>73.17</v>
      </c>
      <c r="T121" s="8"/>
      <c r="U121" s="35">
        <v>114</v>
      </c>
      <c r="V121" s="8" t="s">
        <v>602</v>
      </c>
      <c r="W121" s="8">
        <v>0</v>
      </c>
      <c r="X121" s="8">
        <v>0</v>
      </c>
      <c r="Y121" s="8">
        <v>16320</v>
      </c>
      <c r="Z121" s="8">
        <v>0</v>
      </c>
      <c r="AA121" s="8">
        <v>0</v>
      </c>
      <c r="AB121" s="8">
        <v>16320</v>
      </c>
      <c r="AC121" s="8">
        <v>0</v>
      </c>
      <c r="AD121" s="8"/>
      <c r="AE121" s="16">
        <f t="shared" si="7"/>
        <v>0</v>
      </c>
      <c r="AF121" s="16">
        <f t="shared" si="8"/>
        <v>1</v>
      </c>
      <c r="AG121" s="16">
        <f t="shared" si="9"/>
        <v>0</v>
      </c>
      <c r="AH121" s="16">
        <f t="shared" si="10"/>
        <v>1</v>
      </c>
      <c r="AI121" s="16">
        <f t="shared" si="11"/>
        <v>0</v>
      </c>
      <c r="AJ121" s="16">
        <f t="shared" si="12"/>
        <v>1</v>
      </c>
      <c r="AK121" t="str">
        <f t="shared" si="13"/>
        <v>yes</v>
      </c>
    </row>
    <row r="122" spans="1:37" x14ac:dyDescent="0.2">
      <c r="A122" s="35"/>
      <c r="B122" s="8"/>
      <c r="C122" s="8"/>
      <c r="D122" s="8"/>
      <c r="E122" s="8"/>
      <c r="F122" s="8"/>
      <c r="G122" s="8"/>
      <c r="H122" s="8"/>
      <c r="I122" s="8"/>
      <c r="K122" s="16">
        <v>115</v>
      </c>
      <c r="L122" t="s">
        <v>603</v>
      </c>
      <c r="M122">
        <v>0</v>
      </c>
      <c r="N122">
        <v>0</v>
      </c>
      <c r="O122">
        <v>123</v>
      </c>
      <c r="P122">
        <v>0</v>
      </c>
      <c r="Q122">
        <v>0</v>
      </c>
      <c r="R122">
        <v>123</v>
      </c>
      <c r="S122">
        <v>0</v>
      </c>
      <c r="T122" s="8"/>
      <c r="U122" s="35">
        <v>115</v>
      </c>
      <c r="V122" s="8" t="s">
        <v>603</v>
      </c>
      <c r="W122" s="8">
        <v>0</v>
      </c>
      <c r="X122" s="8">
        <v>0</v>
      </c>
      <c r="Y122" s="8">
        <v>16320</v>
      </c>
      <c r="Z122" s="8">
        <v>0</v>
      </c>
      <c r="AA122" s="8">
        <v>0</v>
      </c>
      <c r="AB122" s="8">
        <v>16320</v>
      </c>
      <c r="AC122" s="8">
        <v>0</v>
      </c>
      <c r="AD122" s="8"/>
      <c r="AE122" s="16">
        <f t="shared" si="7"/>
        <v>0</v>
      </c>
      <c r="AF122" s="16">
        <f t="shared" si="8"/>
        <v>0</v>
      </c>
      <c r="AG122" s="16">
        <f t="shared" si="9"/>
        <v>0</v>
      </c>
      <c r="AH122" s="16">
        <f t="shared" si="10"/>
        <v>0</v>
      </c>
      <c r="AI122" s="16">
        <f t="shared" si="11"/>
        <v>1</v>
      </c>
      <c r="AJ122" s="16">
        <f t="shared" si="12"/>
        <v>0</v>
      </c>
      <c r="AK122" t="str">
        <f t="shared" si="13"/>
        <v>no</v>
      </c>
    </row>
    <row r="123" spans="1:37" x14ac:dyDescent="0.2">
      <c r="A123" s="35"/>
      <c r="B123" s="8"/>
      <c r="C123" s="8"/>
      <c r="D123" s="8"/>
      <c r="E123" s="8"/>
      <c r="F123" s="8"/>
      <c r="G123" s="8"/>
      <c r="H123" s="8"/>
      <c r="I123" s="8"/>
      <c r="K123" s="16">
        <v>116</v>
      </c>
      <c r="L123" t="s">
        <v>604</v>
      </c>
      <c r="M123">
        <v>61</v>
      </c>
      <c r="N123">
        <v>0</v>
      </c>
      <c r="O123">
        <v>62</v>
      </c>
      <c r="P123">
        <v>49.59</v>
      </c>
      <c r="Q123">
        <v>56</v>
      </c>
      <c r="R123">
        <v>67</v>
      </c>
      <c r="S123">
        <v>45.53</v>
      </c>
      <c r="T123" s="8"/>
      <c r="U123" s="35">
        <v>116</v>
      </c>
      <c r="V123" s="8" t="s">
        <v>604</v>
      </c>
      <c r="W123" s="8">
        <v>0</v>
      </c>
      <c r="X123" s="8">
        <v>0</v>
      </c>
      <c r="Y123" s="8">
        <v>16320</v>
      </c>
      <c r="Z123" s="8">
        <v>0</v>
      </c>
      <c r="AA123" s="8">
        <v>0</v>
      </c>
      <c r="AB123" s="8">
        <v>16320</v>
      </c>
      <c r="AC123" s="8">
        <v>0</v>
      </c>
      <c r="AD123" s="8"/>
      <c r="AE123" s="16">
        <f t="shared" si="7"/>
        <v>0</v>
      </c>
      <c r="AF123" s="16">
        <f t="shared" si="8"/>
        <v>1</v>
      </c>
      <c r="AG123" s="16">
        <f t="shared" si="9"/>
        <v>0</v>
      </c>
      <c r="AH123" s="16">
        <f t="shared" si="10"/>
        <v>1</v>
      </c>
      <c r="AI123" s="16">
        <f t="shared" si="11"/>
        <v>0</v>
      </c>
      <c r="AJ123" s="16">
        <f t="shared" si="12"/>
        <v>1</v>
      </c>
      <c r="AK123" t="str">
        <f t="shared" si="13"/>
        <v>yes</v>
      </c>
    </row>
    <row r="124" spans="1:37" x14ac:dyDescent="0.2">
      <c r="A124" s="35"/>
      <c r="B124" s="8"/>
      <c r="C124" s="8"/>
      <c r="D124" s="8"/>
      <c r="E124" s="8"/>
      <c r="F124" s="8"/>
      <c r="G124" s="8"/>
      <c r="H124" s="8"/>
      <c r="I124" s="8"/>
      <c r="K124" s="16">
        <v>117</v>
      </c>
      <c r="L124" t="s">
        <v>605</v>
      </c>
      <c r="M124">
        <v>0</v>
      </c>
      <c r="N124">
        <v>0</v>
      </c>
      <c r="O124">
        <v>123</v>
      </c>
      <c r="P124">
        <v>0</v>
      </c>
      <c r="Q124">
        <v>0</v>
      </c>
      <c r="R124">
        <v>123</v>
      </c>
      <c r="S124">
        <v>0</v>
      </c>
      <c r="T124" s="8"/>
      <c r="U124" s="35">
        <v>117</v>
      </c>
      <c r="V124" s="8" t="s">
        <v>605</v>
      </c>
      <c r="W124" s="8">
        <v>0</v>
      </c>
      <c r="X124" s="8">
        <v>0</v>
      </c>
      <c r="Y124" s="8">
        <v>16320</v>
      </c>
      <c r="Z124" s="8">
        <v>0</v>
      </c>
      <c r="AA124" s="8">
        <v>0</v>
      </c>
      <c r="AB124" s="8">
        <v>16320</v>
      </c>
      <c r="AC124" s="8">
        <v>0</v>
      </c>
      <c r="AD124" s="8"/>
      <c r="AE124" s="16">
        <f t="shared" si="7"/>
        <v>0</v>
      </c>
      <c r="AF124" s="16">
        <f t="shared" si="8"/>
        <v>0</v>
      </c>
      <c r="AG124" s="16">
        <f t="shared" si="9"/>
        <v>0</v>
      </c>
      <c r="AH124" s="16">
        <f t="shared" si="10"/>
        <v>0</v>
      </c>
      <c r="AI124" s="16">
        <f t="shared" si="11"/>
        <v>1</v>
      </c>
      <c r="AJ124" s="16">
        <f t="shared" si="12"/>
        <v>0</v>
      </c>
      <c r="AK124" t="str">
        <f t="shared" si="13"/>
        <v>no</v>
      </c>
    </row>
    <row r="125" spans="1:37" x14ac:dyDescent="0.2">
      <c r="A125" s="35"/>
      <c r="B125" s="8"/>
      <c r="C125" s="8"/>
      <c r="D125" s="8"/>
      <c r="E125" s="8"/>
      <c r="F125" s="8"/>
      <c r="G125" s="8"/>
      <c r="H125" s="8"/>
      <c r="I125" s="8"/>
      <c r="K125" s="16">
        <v>118</v>
      </c>
      <c r="L125" t="s">
        <v>606</v>
      </c>
      <c r="M125">
        <v>0</v>
      </c>
      <c r="N125">
        <v>0</v>
      </c>
      <c r="O125">
        <v>123</v>
      </c>
      <c r="P125">
        <v>0</v>
      </c>
      <c r="Q125">
        <v>0</v>
      </c>
      <c r="R125">
        <v>123</v>
      </c>
      <c r="S125">
        <v>0</v>
      </c>
      <c r="T125" s="8"/>
      <c r="U125" s="35">
        <v>118</v>
      </c>
      <c r="V125" s="8" t="s">
        <v>606</v>
      </c>
      <c r="W125" s="8">
        <v>0</v>
      </c>
      <c r="X125" s="8">
        <v>0</v>
      </c>
      <c r="Y125" s="8">
        <v>16320</v>
      </c>
      <c r="Z125" s="8">
        <v>0</v>
      </c>
      <c r="AA125" s="8">
        <v>0</v>
      </c>
      <c r="AB125" s="8">
        <v>16320</v>
      </c>
      <c r="AC125" s="8">
        <v>0</v>
      </c>
      <c r="AD125" s="8"/>
      <c r="AE125" s="16">
        <f t="shared" si="7"/>
        <v>0</v>
      </c>
      <c r="AF125" s="16">
        <f t="shared" si="8"/>
        <v>0</v>
      </c>
      <c r="AG125" s="16">
        <f t="shared" si="9"/>
        <v>0</v>
      </c>
      <c r="AH125" s="16">
        <f t="shared" si="10"/>
        <v>0</v>
      </c>
      <c r="AI125" s="16">
        <f t="shared" si="11"/>
        <v>1</v>
      </c>
      <c r="AJ125" s="16">
        <f t="shared" si="12"/>
        <v>0</v>
      </c>
      <c r="AK125" t="str">
        <f t="shared" si="13"/>
        <v>no</v>
      </c>
    </row>
    <row r="126" spans="1:37" x14ac:dyDescent="0.2">
      <c r="A126" s="35"/>
      <c r="B126" s="8"/>
      <c r="C126" s="8"/>
      <c r="D126" s="8"/>
      <c r="E126" s="8"/>
      <c r="F126" s="8"/>
      <c r="G126" s="8"/>
      <c r="H126" s="8"/>
      <c r="I126" s="8"/>
      <c r="K126" s="16">
        <v>119</v>
      </c>
      <c r="L126" t="s">
        <v>607</v>
      </c>
      <c r="M126">
        <v>0</v>
      </c>
      <c r="N126">
        <v>0</v>
      </c>
      <c r="O126">
        <v>123</v>
      </c>
      <c r="P126">
        <v>0</v>
      </c>
      <c r="Q126">
        <v>0</v>
      </c>
      <c r="R126">
        <v>123</v>
      </c>
      <c r="S126">
        <v>0</v>
      </c>
      <c r="T126" s="8"/>
      <c r="U126" s="35">
        <v>119</v>
      </c>
      <c r="V126" s="8" t="s">
        <v>607</v>
      </c>
      <c r="W126" s="8">
        <v>0</v>
      </c>
      <c r="X126" s="8">
        <v>0</v>
      </c>
      <c r="Y126" s="8">
        <v>16320</v>
      </c>
      <c r="Z126" s="8">
        <v>0</v>
      </c>
      <c r="AA126" s="8">
        <v>0</v>
      </c>
      <c r="AB126" s="8">
        <v>16320</v>
      </c>
      <c r="AC126" s="8">
        <v>0</v>
      </c>
      <c r="AD126" s="8"/>
      <c r="AE126" s="16">
        <f t="shared" si="7"/>
        <v>0</v>
      </c>
      <c r="AF126" s="16">
        <f t="shared" si="8"/>
        <v>0</v>
      </c>
      <c r="AG126" s="16">
        <f t="shared" si="9"/>
        <v>0</v>
      </c>
      <c r="AH126" s="16">
        <f t="shared" si="10"/>
        <v>0</v>
      </c>
      <c r="AI126" s="16">
        <f t="shared" si="11"/>
        <v>1</v>
      </c>
      <c r="AJ126" s="16">
        <f t="shared" si="12"/>
        <v>0</v>
      </c>
      <c r="AK126" t="str">
        <f t="shared" si="13"/>
        <v>no</v>
      </c>
    </row>
    <row r="127" spans="1:37" x14ac:dyDescent="0.2">
      <c r="A127" s="35"/>
      <c r="B127" s="8"/>
      <c r="C127" s="8"/>
      <c r="D127" s="8"/>
      <c r="E127" s="8"/>
      <c r="F127" s="8"/>
      <c r="G127" s="8"/>
      <c r="H127" s="8"/>
      <c r="I127" s="8"/>
      <c r="K127" s="16">
        <v>120</v>
      </c>
      <c r="L127" t="s">
        <v>608</v>
      </c>
      <c r="M127">
        <v>0</v>
      </c>
      <c r="N127">
        <v>0</v>
      </c>
      <c r="O127">
        <v>123</v>
      </c>
      <c r="P127">
        <v>0</v>
      </c>
      <c r="Q127">
        <v>0</v>
      </c>
      <c r="R127">
        <v>123</v>
      </c>
      <c r="S127">
        <v>0</v>
      </c>
      <c r="T127" s="8"/>
      <c r="U127" s="35">
        <v>120</v>
      </c>
      <c r="V127" s="8" t="s">
        <v>608</v>
      </c>
      <c r="W127" s="8">
        <v>14051</v>
      </c>
      <c r="X127" s="8">
        <v>4</v>
      </c>
      <c r="Y127" s="8">
        <v>2265</v>
      </c>
      <c r="Z127" s="8">
        <v>86.1</v>
      </c>
      <c r="AA127" s="8">
        <v>1180</v>
      </c>
      <c r="AB127" s="8">
        <v>15136</v>
      </c>
      <c r="AC127" s="8">
        <v>7.23</v>
      </c>
      <c r="AD127" s="8"/>
      <c r="AE127" s="16">
        <f t="shared" si="7"/>
        <v>0</v>
      </c>
      <c r="AF127" s="16">
        <f t="shared" si="8"/>
        <v>0</v>
      </c>
      <c r="AG127" s="16">
        <f t="shared" si="9"/>
        <v>1</v>
      </c>
      <c r="AH127" s="16">
        <f t="shared" si="10"/>
        <v>1</v>
      </c>
      <c r="AI127" s="16">
        <f t="shared" si="11"/>
        <v>0</v>
      </c>
      <c r="AJ127" s="16">
        <f t="shared" si="12"/>
        <v>1</v>
      </c>
      <c r="AK127" t="str">
        <f t="shared" si="13"/>
        <v>yes</v>
      </c>
    </row>
    <row r="128" spans="1:37" x14ac:dyDescent="0.2">
      <c r="A128" s="35"/>
      <c r="B128" s="8"/>
      <c r="C128" s="8"/>
      <c r="D128" s="8"/>
      <c r="E128" s="8"/>
      <c r="F128" s="8"/>
      <c r="G128" s="8"/>
      <c r="H128" s="8"/>
      <c r="I128" s="8"/>
      <c r="K128" s="16">
        <v>121</v>
      </c>
      <c r="L128" t="s">
        <v>609</v>
      </c>
      <c r="M128">
        <v>0</v>
      </c>
      <c r="N128">
        <v>0</v>
      </c>
      <c r="O128">
        <v>123</v>
      </c>
      <c r="P128">
        <v>0</v>
      </c>
      <c r="Q128">
        <v>0</v>
      </c>
      <c r="R128">
        <v>123</v>
      </c>
      <c r="S128">
        <v>0</v>
      </c>
      <c r="T128" s="8"/>
      <c r="U128" s="35">
        <v>121</v>
      </c>
      <c r="V128" s="8" t="s">
        <v>609</v>
      </c>
      <c r="W128" s="8">
        <v>13688</v>
      </c>
      <c r="X128" s="8">
        <v>5</v>
      </c>
      <c r="Y128" s="8">
        <v>2627</v>
      </c>
      <c r="Z128" s="8">
        <v>83.87</v>
      </c>
      <c r="AA128" s="8">
        <v>1155</v>
      </c>
      <c r="AB128" s="8">
        <v>15160</v>
      </c>
      <c r="AC128" s="8">
        <v>7.08</v>
      </c>
      <c r="AD128" s="8"/>
      <c r="AE128" s="16">
        <f t="shared" si="7"/>
        <v>0</v>
      </c>
      <c r="AF128" s="16">
        <f t="shared" si="8"/>
        <v>0</v>
      </c>
      <c r="AG128" s="16">
        <f t="shared" si="9"/>
        <v>1</v>
      </c>
      <c r="AH128" s="16">
        <f t="shared" si="10"/>
        <v>1</v>
      </c>
      <c r="AI128" s="16">
        <f t="shared" si="11"/>
        <v>0</v>
      </c>
      <c r="AJ128" s="16">
        <f t="shared" si="12"/>
        <v>1</v>
      </c>
      <c r="AK128" t="str">
        <f t="shared" si="13"/>
        <v>yes</v>
      </c>
    </row>
    <row r="129" spans="1:37" x14ac:dyDescent="0.2">
      <c r="A129" s="35"/>
      <c r="B129" s="8"/>
      <c r="C129" s="8"/>
      <c r="D129" s="8"/>
      <c r="E129" s="8"/>
      <c r="F129" s="8"/>
      <c r="G129" s="8"/>
      <c r="H129" s="8"/>
      <c r="I129" s="8"/>
      <c r="K129" s="16">
        <v>122</v>
      </c>
      <c r="L129" t="s">
        <v>610</v>
      </c>
      <c r="M129">
        <v>0</v>
      </c>
      <c r="N129">
        <v>0</v>
      </c>
      <c r="O129">
        <v>123</v>
      </c>
      <c r="P129">
        <v>0</v>
      </c>
      <c r="Q129">
        <v>0</v>
      </c>
      <c r="R129">
        <v>123</v>
      </c>
      <c r="S129">
        <v>0</v>
      </c>
      <c r="T129" s="8"/>
      <c r="U129" s="35">
        <v>122</v>
      </c>
      <c r="V129" s="8" t="s">
        <v>610</v>
      </c>
      <c r="W129" s="8">
        <v>0</v>
      </c>
      <c r="X129" s="8">
        <v>0</v>
      </c>
      <c r="Y129" s="8">
        <v>16320</v>
      </c>
      <c r="Z129" s="8">
        <v>0</v>
      </c>
      <c r="AA129" s="8">
        <v>0</v>
      </c>
      <c r="AB129" s="8">
        <v>16320</v>
      </c>
      <c r="AC129" s="8">
        <v>0</v>
      </c>
      <c r="AD129" s="8"/>
      <c r="AE129" s="16">
        <f t="shared" si="7"/>
        <v>0</v>
      </c>
      <c r="AF129" s="16">
        <f t="shared" si="8"/>
        <v>0</v>
      </c>
      <c r="AG129" s="16">
        <f t="shared" si="9"/>
        <v>0</v>
      </c>
      <c r="AH129" s="16">
        <f t="shared" si="10"/>
        <v>0</v>
      </c>
      <c r="AI129" s="16">
        <f t="shared" si="11"/>
        <v>1</v>
      </c>
      <c r="AJ129" s="16">
        <f t="shared" si="12"/>
        <v>0</v>
      </c>
      <c r="AK129" t="str">
        <f t="shared" si="13"/>
        <v>no</v>
      </c>
    </row>
    <row r="130" spans="1:37" x14ac:dyDescent="0.2">
      <c r="A130" s="35"/>
      <c r="B130" s="8"/>
      <c r="C130" s="8"/>
      <c r="D130" s="8"/>
      <c r="E130" s="8"/>
      <c r="F130" s="8"/>
      <c r="G130" s="8"/>
      <c r="H130" s="8"/>
      <c r="I130" s="8"/>
      <c r="K130" s="16">
        <v>123</v>
      </c>
      <c r="L130" t="s">
        <v>611</v>
      </c>
      <c r="M130">
        <v>0</v>
      </c>
      <c r="N130">
        <v>0</v>
      </c>
      <c r="O130">
        <v>123</v>
      </c>
      <c r="P130">
        <v>0</v>
      </c>
      <c r="Q130">
        <v>0</v>
      </c>
      <c r="R130">
        <v>123</v>
      </c>
      <c r="S130">
        <v>0</v>
      </c>
      <c r="T130" s="8"/>
      <c r="U130" s="35">
        <v>123</v>
      </c>
      <c r="V130" s="8" t="s">
        <v>611</v>
      </c>
      <c r="W130" s="8">
        <v>16092</v>
      </c>
      <c r="X130" s="8">
        <v>10</v>
      </c>
      <c r="Y130" s="8">
        <v>218</v>
      </c>
      <c r="Z130" s="8">
        <v>98.6</v>
      </c>
      <c r="AA130" s="8">
        <v>2001</v>
      </c>
      <c r="AB130" s="8">
        <v>14309</v>
      </c>
      <c r="AC130" s="8">
        <v>12.26</v>
      </c>
      <c r="AD130" s="8"/>
      <c r="AE130" s="16">
        <f t="shared" si="7"/>
        <v>0</v>
      </c>
      <c r="AF130" s="16">
        <f t="shared" si="8"/>
        <v>0</v>
      </c>
      <c r="AG130" s="16">
        <f t="shared" si="9"/>
        <v>1</v>
      </c>
      <c r="AH130" s="16">
        <f t="shared" si="10"/>
        <v>1</v>
      </c>
      <c r="AI130" s="16">
        <f t="shared" si="11"/>
        <v>0</v>
      </c>
      <c r="AJ130" s="16">
        <f t="shared" si="12"/>
        <v>1</v>
      </c>
      <c r="AK130" t="str">
        <f t="shared" si="13"/>
        <v>yes</v>
      </c>
    </row>
    <row r="131" spans="1:37" x14ac:dyDescent="0.2">
      <c r="A131" s="35"/>
      <c r="B131" s="8"/>
      <c r="C131" s="8"/>
      <c r="D131" s="8"/>
      <c r="E131" s="8"/>
      <c r="F131" s="8"/>
      <c r="G131" s="8"/>
      <c r="H131" s="8"/>
      <c r="I131" s="8"/>
      <c r="K131" s="16">
        <v>124</v>
      </c>
      <c r="L131" t="s">
        <v>612</v>
      </c>
      <c r="M131">
        <v>0</v>
      </c>
      <c r="N131">
        <v>0</v>
      </c>
      <c r="O131">
        <v>123</v>
      </c>
      <c r="P131">
        <v>0</v>
      </c>
      <c r="Q131">
        <v>0</v>
      </c>
      <c r="R131">
        <v>123</v>
      </c>
      <c r="S131">
        <v>0</v>
      </c>
      <c r="T131" s="8"/>
      <c r="U131" s="35">
        <v>124</v>
      </c>
      <c r="V131" s="8" t="s">
        <v>612</v>
      </c>
      <c r="W131" s="8">
        <v>0</v>
      </c>
      <c r="X131" s="8">
        <v>0</v>
      </c>
      <c r="Y131" s="8">
        <v>16320</v>
      </c>
      <c r="Z131" s="8">
        <v>0</v>
      </c>
      <c r="AA131" s="8">
        <v>0</v>
      </c>
      <c r="AB131" s="8">
        <v>16320</v>
      </c>
      <c r="AC131" s="8">
        <v>0</v>
      </c>
      <c r="AD131" s="8"/>
      <c r="AE131" s="16">
        <f t="shared" si="7"/>
        <v>0</v>
      </c>
      <c r="AF131" s="16">
        <f t="shared" si="8"/>
        <v>0</v>
      </c>
      <c r="AG131" s="16">
        <f t="shared" si="9"/>
        <v>0</v>
      </c>
      <c r="AH131" s="16">
        <f t="shared" si="10"/>
        <v>0</v>
      </c>
      <c r="AI131" s="16">
        <f t="shared" si="11"/>
        <v>1</v>
      </c>
      <c r="AJ131" s="16">
        <f t="shared" si="12"/>
        <v>0</v>
      </c>
      <c r="AK131" t="str">
        <f t="shared" si="13"/>
        <v>no</v>
      </c>
    </row>
    <row r="132" spans="1:37" x14ac:dyDescent="0.2">
      <c r="A132" s="35"/>
      <c r="B132" s="8"/>
      <c r="C132" s="8"/>
      <c r="D132" s="8"/>
      <c r="E132" s="8"/>
      <c r="F132" s="8"/>
      <c r="G132" s="8"/>
      <c r="H132" s="8"/>
      <c r="I132" s="8"/>
      <c r="K132" s="16">
        <v>125</v>
      </c>
      <c r="L132" t="s">
        <v>613</v>
      </c>
      <c r="M132">
        <v>0</v>
      </c>
      <c r="N132">
        <v>0</v>
      </c>
      <c r="O132">
        <v>123</v>
      </c>
      <c r="P132">
        <v>0</v>
      </c>
      <c r="Q132">
        <v>0</v>
      </c>
      <c r="R132">
        <v>123</v>
      </c>
      <c r="S132">
        <v>0</v>
      </c>
      <c r="T132" s="8"/>
      <c r="U132" s="35">
        <v>125</v>
      </c>
      <c r="V132" s="8" t="s">
        <v>613</v>
      </c>
      <c r="W132" s="8">
        <v>0</v>
      </c>
      <c r="X132" s="8">
        <v>0</v>
      </c>
      <c r="Y132" s="8">
        <v>16320</v>
      </c>
      <c r="Z132" s="8">
        <v>0</v>
      </c>
      <c r="AA132" s="8">
        <v>0</v>
      </c>
      <c r="AB132" s="8">
        <v>16320</v>
      </c>
      <c r="AC132" s="8">
        <v>0</v>
      </c>
      <c r="AD132" s="8"/>
      <c r="AE132" s="16">
        <f t="shared" si="7"/>
        <v>0</v>
      </c>
      <c r="AF132" s="16">
        <f t="shared" si="8"/>
        <v>0</v>
      </c>
      <c r="AG132" s="16">
        <f t="shared" si="9"/>
        <v>0</v>
      </c>
      <c r="AH132" s="16">
        <f t="shared" si="10"/>
        <v>0</v>
      </c>
      <c r="AI132" s="16">
        <f t="shared" si="11"/>
        <v>1</v>
      </c>
      <c r="AJ132" s="16">
        <f t="shared" si="12"/>
        <v>0</v>
      </c>
      <c r="AK132" t="str">
        <f t="shared" si="13"/>
        <v>no</v>
      </c>
    </row>
    <row r="133" spans="1:37" x14ac:dyDescent="0.2">
      <c r="A133" s="35"/>
      <c r="B133" s="8"/>
      <c r="C133" s="8"/>
      <c r="D133" s="8"/>
      <c r="E133" s="8"/>
      <c r="F133" s="8"/>
      <c r="G133" s="8"/>
      <c r="H133" s="8"/>
      <c r="I133" s="8"/>
      <c r="K133" s="16">
        <v>126</v>
      </c>
      <c r="L133" t="s">
        <v>614</v>
      </c>
      <c r="M133">
        <v>0</v>
      </c>
      <c r="N133">
        <v>0</v>
      </c>
      <c r="O133">
        <v>123</v>
      </c>
      <c r="P133">
        <v>0</v>
      </c>
      <c r="Q133">
        <v>0</v>
      </c>
      <c r="R133">
        <v>123</v>
      </c>
      <c r="S133">
        <v>0</v>
      </c>
      <c r="T133" s="8"/>
      <c r="U133" s="35">
        <v>126</v>
      </c>
      <c r="V133" s="8" t="s">
        <v>614</v>
      </c>
      <c r="W133" s="8">
        <v>0</v>
      </c>
      <c r="X133" s="8">
        <v>0</v>
      </c>
      <c r="Y133" s="8">
        <v>16320</v>
      </c>
      <c r="Z133" s="8">
        <v>0</v>
      </c>
      <c r="AA133" s="8">
        <v>0</v>
      </c>
      <c r="AB133" s="8">
        <v>16320</v>
      </c>
      <c r="AC133" s="8">
        <v>0</v>
      </c>
      <c r="AD133" s="8"/>
      <c r="AE133" s="16">
        <f t="shared" si="7"/>
        <v>0</v>
      </c>
      <c r="AF133" s="16">
        <f t="shared" si="8"/>
        <v>0</v>
      </c>
      <c r="AG133" s="16">
        <f t="shared" si="9"/>
        <v>0</v>
      </c>
      <c r="AH133" s="16">
        <f t="shared" si="10"/>
        <v>0</v>
      </c>
      <c r="AI133" s="16">
        <f t="shared" si="11"/>
        <v>1</v>
      </c>
      <c r="AJ133" s="16">
        <f t="shared" si="12"/>
        <v>0</v>
      </c>
      <c r="AK133" t="str">
        <f t="shared" si="13"/>
        <v>no</v>
      </c>
    </row>
    <row r="134" spans="1:37" x14ac:dyDescent="0.2">
      <c r="A134" s="35"/>
      <c r="B134" s="8"/>
      <c r="C134" s="8"/>
      <c r="D134" s="8"/>
      <c r="E134" s="8"/>
      <c r="F134" s="8"/>
      <c r="G134" s="8"/>
      <c r="H134" s="8"/>
      <c r="I134" s="8"/>
      <c r="K134" s="16">
        <v>127</v>
      </c>
      <c r="L134" t="s">
        <v>615</v>
      </c>
      <c r="M134">
        <v>0</v>
      </c>
      <c r="N134">
        <v>0</v>
      </c>
      <c r="O134">
        <v>123</v>
      </c>
      <c r="P134">
        <v>0</v>
      </c>
      <c r="Q134">
        <v>0</v>
      </c>
      <c r="R134">
        <v>123</v>
      </c>
      <c r="S134">
        <v>0</v>
      </c>
      <c r="T134" s="8"/>
      <c r="U134" s="35">
        <v>127</v>
      </c>
      <c r="V134" s="8" t="s">
        <v>615</v>
      </c>
      <c r="W134" s="8">
        <v>0</v>
      </c>
      <c r="X134" s="8">
        <v>0</v>
      </c>
      <c r="Y134" s="8">
        <v>16320</v>
      </c>
      <c r="Z134" s="8">
        <v>0</v>
      </c>
      <c r="AA134" s="8">
        <v>0</v>
      </c>
      <c r="AB134" s="8">
        <v>16320</v>
      </c>
      <c r="AC134" s="8">
        <v>0</v>
      </c>
      <c r="AD134" s="8"/>
      <c r="AE134" s="16">
        <f t="shared" si="7"/>
        <v>0</v>
      </c>
      <c r="AF134" s="16">
        <f t="shared" si="8"/>
        <v>0</v>
      </c>
      <c r="AG134" s="16">
        <f t="shared" si="9"/>
        <v>0</v>
      </c>
      <c r="AH134" s="16">
        <f t="shared" si="10"/>
        <v>0</v>
      </c>
      <c r="AI134" s="16">
        <f t="shared" si="11"/>
        <v>1</v>
      </c>
      <c r="AJ134" s="16">
        <f t="shared" si="12"/>
        <v>0</v>
      </c>
      <c r="AK134" t="str">
        <f t="shared" si="13"/>
        <v>no</v>
      </c>
    </row>
    <row r="135" spans="1:37" x14ac:dyDescent="0.2">
      <c r="A135" s="35"/>
      <c r="B135" s="8"/>
      <c r="C135" s="8"/>
      <c r="D135" s="8"/>
      <c r="E135" s="8"/>
      <c r="F135" s="8"/>
      <c r="G135" s="8"/>
      <c r="H135" s="8"/>
      <c r="I135" s="8"/>
      <c r="K135" s="16">
        <v>128</v>
      </c>
      <c r="L135" t="s">
        <v>616</v>
      </c>
      <c r="M135">
        <v>0</v>
      </c>
      <c r="N135">
        <v>0</v>
      </c>
      <c r="O135">
        <v>123</v>
      </c>
      <c r="P135">
        <v>0</v>
      </c>
      <c r="Q135">
        <v>0</v>
      </c>
      <c r="R135">
        <v>123</v>
      </c>
      <c r="S135">
        <v>0</v>
      </c>
      <c r="T135" s="8"/>
      <c r="U135" s="35">
        <v>128</v>
      </c>
      <c r="V135" s="8" t="s">
        <v>616</v>
      </c>
      <c r="W135" s="8">
        <v>15320</v>
      </c>
      <c r="X135" s="8">
        <v>6</v>
      </c>
      <c r="Y135" s="8">
        <v>994</v>
      </c>
      <c r="Z135" s="8">
        <v>93.87</v>
      </c>
      <c r="AA135" s="8">
        <v>1784</v>
      </c>
      <c r="AB135" s="8">
        <v>14530</v>
      </c>
      <c r="AC135" s="8">
        <v>10.93</v>
      </c>
      <c r="AD135" s="8"/>
      <c r="AE135" s="16">
        <f t="shared" si="7"/>
        <v>0</v>
      </c>
      <c r="AF135" s="16">
        <f t="shared" si="8"/>
        <v>0</v>
      </c>
      <c r="AG135" s="16">
        <f t="shared" si="9"/>
        <v>1</v>
      </c>
      <c r="AH135" s="16">
        <f t="shared" si="10"/>
        <v>1</v>
      </c>
      <c r="AI135" s="16">
        <f t="shared" si="11"/>
        <v>0</v>
      </c>
      <c r="AJ135" s="16">
        <f t="shared" si="12"/>
        <v>1</v>
      </c>
      <c r="AK135" t="str">
        <f t="shared" si="13"/>
        <v>yes</v>
      </c>
    </row>
    <row r="136" spans="1:37" x14ac:dyDescent="0.2">
      <c r="A136" s="35"/>
      <c r="B136" s="8"/>
      <c r="C136" s="8"/>
      <c r="D136" s="8"/>
      <c r="E136" s="8"/>
      <c r="F136" s="8"/>
      <c r="G136" s="8"/>
      <c r="H136" s="8"/>
      <c r="I136" s="8"/>
      <c r="K136" s="16">
        <v>129</v>
      </c>
      <c r="L136" t="s">
        <v>617</v>
      </c>
      <c r="M136">
        <v>0</v>
      </c>
      <c r="N136">
        <v>0</v>
      </c>
      <c r="O136">
        <v>123</v>
      </c>
      <c r="P136">
        <v>0</v>
      </c>
      <c r="Q136">
        <v>0</v>
      </c>
      <c r="R136">
        <v>123</v>
      </c>
      <c r="S136">
        <v>0</v>
      </c>
      <c r="T136" s="8"/>
      <c r="U136" s="35">
        <v>129</v>
      </c>
      <c r="V136" s="8" t="s">
        <v>617</v>
      </c>
      <c r="W136" s="8">
        <v>15424</v>
      </c>
      <c r="X136" s="8">
        <v>2</v>
      </c>
      <c r="Y136" s="8">
        <v>894</v>
      </c>
      <c r="Z136" s="8">
        <v>94.51</v>
      </c>
      <c r="AA136" s="8">
        <v>1976</v>
      </c>
      <c r="AB136" s="8">
        <v>14342</v>
      </c>
      <c r="AC136" s="8">
        <v>12.11</v>
      </c>
      <c r="AD136" s="8"/>
      <c r="AE136" s="16">
        <f t="shared" si="7"/>
        <v>0</v>
      </c>
      <c r="AF136" s="16">
        <f t="shared" si="8"/>
        <v>0</v>
      </c>
      <c r="AG136" s="16">
        <f t="shared" si="9"/>
        <v>1</v>
      </c>
      <c r="AH136" s="16">
        <f t="shared" si="10"/>
        <v>1</v>
      </c>
      <c r="AI136" s="16">
        <f t="shared" si="11"/>
        <v>0</v>
      </c>
      <c r="AJ136" s="16">
        <f t="shared" si="12"/>
        <v>1</v>
      </c>
      <c r="AK136" t="str">
        <f t="shared" si="13"/>
        <v>yes</v>
      </c>
    </row>
    <row r="137" spans="1:37" x14ac:dyDescent="0.2">
      <c r="A137" s="35"/>
      <c r="B137" s="8"/>
      <c r="C137" s="8"/>
      <c r="D137" s="8"/>
      <c r="E137" s="8"/>
      <c r="F137" s="8"/>
      <c r="G137" s="8"/>
      <c r="H137" s="8"/>
      <c r="I137" s="8"/>
      <c r="K137" s="16">
        <v>130</v>
      </c>
      <c r="L137" t="s">
        <v>618</v>
      </c>
      <c r="M137">
        <v>0</v>
      </c>
      <c r="N137">
        <v>0</v>
      </c>
      <c r="O137">
        <v>123</v>
      </c>
      <c r="P137">
        <v>0</v>
      </c>
      <c r="Q137">
        <v>0</v>
      </c>
      <c r="R137">
        <v>123</v>
      </c>
      <c r="S137">
        <v>0</v>
      </c>
      <c r="T137" s="8"/>
      <c r="U137" s="35">
        <v>130</v>
      </c>
      <c r="V137" s="8" t="s">
        <v>618</v>
      </c>
      <c r="W137" s="8">
        <v>0</v>
      </c>
      <c r="X137" s="8">
        <v>0</v>
      </c>
      <c r="Y137" s="8">
        <v>16320</v>
      </c>
      <c r="Z137" s="8">
        <v>0</v>
      </c>
      <c r="AA137" s="8">
        <v>0</v>
      </c>
      <c r="AB137" s="8">
        <v>16320</v>
      </c>
      <c r="AC137" s="8">
        <v>0</v>
      </c>
      <c r="AD137" s="8"/>
      <c r="AE137" s="16">
        <f t="shared" ref="AE137:AE200" si="14">IF(G137=0,0,1)</f>
        <v>0</v>
      </c>
      <c r="AF137" s="16">
        <f t="shared" ref="AF137:AF200" si="15">IF(Q137=0,0,1)</f>
        <v>0</v>
      </c>
      <c r="AG137" s="16">
        <f t="shared" ref="AG137:AG200" si="16">IF(AA137=0,0,1)</f>
        <v>0</v>
      </c>
      <c r="AH137" s="16">
        <f t="shared" ref="AH137:AH200" si="17">SUM(AE137:AG137)</f>
        <v>0</v>
      </c>
      <c r="AI137" s="16">
        <f t="shared" ref="AI137:AI200" si="18">IF(AH137=0,1,0)</f>
        <v>1</v>
      </c>
      <c r="AJ137" s="16">
        <f t="shared" ref="AJ137:AJ200" si="19">IF(AH137=0,0,1)</f>
        <v>0</v>
      </c>
      <c r="AK137" t="str">
        <f t="shared" ref="AK137:AK200" si="20">IF(AJ137=1,"yes","no")</f>
        <v>no</v>
      </c>
    </row>
    <row r="138" spans="1:37" x14ac:dyDescent="0.2">
      <c r="A138" s="35"/>
      <c r="B138" s="8"/>
      <c r="C138" s="8"/>
      <c r="D138" s="8"/>
      <c r="E138" s="8"/>
      <c r="F138" s="8"/>
      <c r="G138" s="8"/>
      <c r="H138" s="8"/>
      <c r="I138" s="8"/>
      <c r="K138" s="16">
        <v>131</v>
      </c>
      <c r="L138" t="s">
        <v>619</v>
      </c>
      <c r="M138">
        <v>0</v>
      </c>
      <c r="N138">
        <v>0</v>
      </c>
      <c r="O138">
        <v>123</v>
      </c>
      <c r="P138">
        <v>0</v>
      </c>
      <c r="Q138">
        <v>0</v>
      </c>
      <c r="R138">
        <v>123</v>
      </c>
      <c r="S138">
        <v>0</v>
      </c>
      <c r="T138" s="8"/>
      <c r="U138" s="35">
        <v>131</v>
      </c>
      <c r="V138" s="8" t="s">
        <v>619</v>
      </c>
      <c r="W138" s="8">
        <v>0</v>
      </c>
      <c r="X138" s="8">
        <v>0</v>
      </c>
      <c r="Y138" s="8">
        <v>16320</v>
      </c>
      <c r="Z138" s="8">
        <v>0</v>
      </c>
      <c r="AA138" s="8">
        <v>0</v>
      </c>
      <c r="AB138" s="8">
        <v>16320</v>
      </c>
      <c r="AC138" s="8">
        <v>0</v>
      </c>
      <c r="AD138" s="8"/>
      <c r="AE138" s="16">
        <f t="shared" si="14"/>
        <v>0</v>
      </c>
      <c r="AF138" s="16">
        <f t="shared" si="15"/>
        <v>0</v>
      </c>
      <c r="AG138" s="16">
        <f t="shared" si="16"/>
        <v>0</v>
      </c>
      <c r="AH138" s="16">
        <f t="shared" si="17"/>
        <v>0</v>
      </c>
      <c r="AI138" s="16">
        <f t="shared" si="18"/>
        <v>1</v>
      </c>
      <c r="AJ138" s="16">
        <f t="shared" si="19"/>
        <v>0</v>
      </c>
      <c r="AK138" t="str">
        <f t="shared" si="20"/>
        <v>no</v>
      </c>
    </row>
    <row r="139" spans="1:37" x14ac:dyDescent="0.2">
      <c r="A139" s="35"/>
      <c r="B139" s="8"/>
      <c r="C139" s="8"/>
      <c r="D139" s="8"/>
      <c r="E139" s="8"/>
      <c r="F139" s="8"/>
      <c r="G139" s="8"/>
      <c r="H139" s="8"/>
      <c r="I139" s="8"/>
      <c r="K139" s="16">
        <v>132</v>
      </c>
      <c r="L139" t="s">
        <v>620</v>
      </c>
      <c r="M139">
        <v>0</v>
      </c>
      <c r="N139">
        <v>0</v>
      </c>
      <c r="O139">
        <v>123</v>
      </c>
      <c r="P139">
        <v>0</v>
      </c>
      <c r="Q139">
        <v>0</v>
      </c>
      <c r="R139">
        <v>123</v>
      </c>
      <c r="S139">
        <v>0</v>
      </c>
      <c r="T139" s="8"/>
      <c r="U139" s="35">
        <v>132</v>
      </c>
      <c r="V139" s="8" t="s">
        <v>620</v>
      </c>
      <c r="W139" s="8">
        <v>0</v>
      </c>
      <c r="X139" s="8">
        <v>0</v>
      </c>
      <c r="Y139" s="8">
        <v>16320</v>
      </c>
      <c r="Z139" s="8">
        <v>0</v>
      </c>
      <c r="AA139" s="8">
        <v>0</v>
      </c>
      <c r="AB139" s="8">
        <v>16320</v>
      </c>
      <c r="AC139" s="8">
        <v>0</v>
      </c>
      <c r="AD139" s="8"/>
      <c r="AE139" s="16">
        <f t="shared" si="14"/>
        <v>0</v>
      </c>
      <c r="AF139" s="16">
        <f t="shared" si="15"/>
        <v>0</v>
      </c>
      <c r="AG139" s="16">
        <f t="shared" si="16"/>
        <v>0</v>
      </c>
      <c r="AH139" s="16">
        <f t="shared" si="17"/>
        <v>0</v>
      </c>
      <c r="AI139" s="16">
        <f t="shared" si="18"/>
        <v>1</v>
      </c>
      <c r="AJ139" s="16">
        <f t="shared" si="19"/>
        <v>0</v>
      </c>
      <c r="AK139" t="str">
        <f t="shared" si="20"/>
        <v>no</v>
      </c>
    </row>
    <row r="140" spans="1:37" x14ac:dyDescent="0.2">
      <c r="A140" s="35"/>
      <c r="B140" s="8"/>
      <c r="C140" s="8"/>
      <c r="D140" s="8"/>
      <c r="E140" s="8"/>
      <c r="F140" s="8"/>
      <c r="G140" s="8"/>
      <c r="H140" s="8"/>
      <c r="I140" s="8"/>
      <c r="K140" s="16">
        <v>133</v>
      </c>
      <c r="L140" t="s">
        <v>621</v>
      </c>
      <c r="M140">
        <v>0</v>
      </c>
      <c r="N140">
        <v>0</v>
      </c>
      <c r="O140">
        <v>123</v>
      </c>
      <c r="P140">
        <v>0</v>
      </c>
      <c r="Q140">
        <v>0</v>
      </c>
      <c r="R140">
        <v>123</v>
      </c>
      <c r="S140">
        <v>0</v>
      </c>
      <c r="U140" s="16">
        <v>133</v>
      </c>
      <c r="V140" t="s">
        <v>621</v>
      </c>
      <c r="W140">
        <v>0</v>
      </c>
      <c r="X140">
        <v>0</v>
      </c>
      <c r="Y140">
        <v>16320</v>
      </c>
      <c r="Z140">
        <v>0</v>
      </c>
      <c r="AA140">
        <v>0</v>
      </c>
      <c r="AB140">
        <v>16320</v>
      </c>
      <c r="AC140">
        <v>0</v>
      </c>
      <c r="AE140" s="16">
        <f t="shared" si="14"/>
        <v>0</v>
      </c>
      <c r="AF140" s="16">
        <f t="shared" si="15"/>
        <v>0</v>
      </c>
      <c r="AG140" s="16">
        <f t="shared" si="16"/>
        <v>0</v>
      </c>
      <c r="AH140" s="16">
        <f t="shared" si="17"/>
        <v>0</v>
      </c>
      <c r="AI140" s="16">
        <f t="shared" si="18"/>
        <v>1</v>
      </c>
      <c r="AJ140" s="16">
        <f t="shared" si="19"/>
        <v>0</v>
      </c>
      <c r="AK140" t="str">
        <f t="shared" si="20"/>
        <v>no</v>
      </c>
    </row>
    <row r="141" spans="1:37" x14ac:dyDescent="0.2">
      <c r="A141" s="35"/>
      <c r="B141" s="8"/>
      <c r="C141" s="8"/>
      <c r="D141" s="8"/>
      <c r="E141" s="8"/>
      <c r="F141" s="8"/>
      <c r="G141" s="8"/>
      <c r="H141" s="8"/>
      <c r="I141" s="8"/>
      <c r="K141" s="16">
        <v>134</v>
      </c>
      <c r="L141" t="s">
        <v>622</v>
      </c>
      <c r="M141">
        <v>0</v>
      </c>
      <c r="N141">
        <v>0</v>
      </c>
      <c r="O141">
        <v>123</v>
      </c>
      <c r="P141">
        <v>0</v>
      </c>
      <c r="Q141">
        <v>0</v>
      </c>
      <c r="R141">
        <v>123</v>
      </c>
      <c r="S141">
        <v>0</v>
      </c>
      <c r="U141" s="16">
        <v>134</v>
      </c>
      <c r="V141" t="s">
        <v>622</v>
      </c>
      <c r="W141">
        <v>0</v>
      </c>
      <c r="X141">
        <v>0</v>
      </c>
      <c r="Y141">
        <v>16320</v>
      </c>
      <c r="Z141">
        <v>0</v>
      </c>
      <c r="AA141">
        <v>0</v>
      </c>
      <c r="AB141">
        <v>16320</v>
      </c>
      <c r="AC141">
        <v>0</v>
      </c>
      <c r="AE141" s="16">
        <f t="shared" si="14"/>
        <v>0</v>
      </c>
      <c r="AF141" s="16">
        <f t="shared" si="15"/>
        <v>0</v>
      </c>
      <c r="AG141" s="16">
        <f t="shared" si="16"/>
        <v>0</v>
      </c>
      <c r="AH141" s="16">
        <f t="shared" si="17"/>
        <v>0</v>
      </c>
      <c r="AI141" s="16">
        <f t="shared" si="18"/>
        <v>1</v>
      </c>
      <c r="AJ141" s="16">
        <f t="shared" si="19"/>
        <v>0</v>
      </c>
      <c r="AK141" t="str">
        <f t="shared" si="20"/>
        <v>no</v>
      </c>
    </row>
    <row r="142" spans="1:37" x14ac:dyDescent="0.2">
      <c r="A142" s="35"/>
      <c r="B142" s="8"/>
      <c r="C142" s="8"/>
      <c r="D142" s="8"/>
      <c r="E142" s="8"/>
      <c r="F142" s="8"/>
      <c r="G142" s="8"/>
      <c r="H142" s="8"/>
      <c r="I142" s="8"/>
      <c r="K142" s="16">
        <v>135</v>
      </c>
      <c r="L142" t="s">
        <v>623</v>
      </c>
      <c r="M142">
        <v>0</v>
      </c>
      <c r="N142">
        <v>0</v>
      </c>
      <c r="O142">
        <v>123</v>
      </c>
      <c r="P142">
        <v>0</v>
      </c>
      <c r="Q142">
        <v>0</v>
      </c>
      <c r="R142">
        <v>123</v>
      </c>
      <c r="S142">
        <v>0</v>
      </c>
      <c r="U142" s="16">
        <v>135</v>
      </c>
      <c r="V142" t="s">
        <v>623</v>
      </c>
      <c r="W142">
        <v>0</v>
      </c>
      <c r="X142">
        <v>0</v>
      </c>
      <c r="Y142">
        <v>16320</v>
      </c>
      <c r="Z142">
        <v>0</v>
      </c>
      <c r="AA142">
        <v>0</v>
      </c>
      <c r="AB142">
        <v>16320</v>
      </c>
      <c r="AC142">
        <v>0</v>
      </c>
      <c r="AE142" s="16">
        <f t="shared" si="14"/>
        <v>0</v>
      </c>
      <c r="AF142" s="16">
        <f t="shared" si="15"/>
        <v>0</v>
      </c>
      <c r="AG142" s="16">
        <f t="shared" si="16"/>
        <v>0</v>
      </c>
      <c r="AH142" s="16">
        <f t="shared" si="17"/>
        <v>0</v>
      </c>
      <c r="AI142" s="16">
        <f t="shared" si="18"/>
        <v>1</v>
      </c>
      <c r="AJ142" s="16">
        <f t="shared" si="19"/>
        <v>0</v>
      </c>
      <c r="AK142" t="str">
        <f t="shared" si="20"/>
        <v>no</v>
      </c>
    </row>
    <row r="143" spans="1:37" x14ac:dyDescent="0.2">
      <c r="A143" s="35"/>
      <c r="B143" s="8"/>
      <c r="C143" s="8"/>
      <c r="D143" s="8"/>
      <c r="E143" s="8"/>
      <c r="F143" s="8"/>
      <c r="G143" s="8"/>
      <c r="H143" s="8"/>
      <c r="I143" s="8"/>
      <c r="K143" s="16">
        <v>136</v>
      </c>
      <c r="L143" t="s">
        <v>624</v>
      </c>
      <c r="M143">
        <v>0</v>
      </c>
      <c r="N143">
        <v>0</v>
      </c>
      <c r="O143">
        <v>123</v>
      </c>
      <c r="P143">
        <v>0</v>
      </c>
      <c r="Q143">
        <v>0</v>
      </c>
      <c r="R143">
        <v>123</v>
      </c>
      <c r="S143">
        <v>0</v>
      </c>
      <c r="U143" s="16">
        <v>136</v>
      </c>
      <c r="V143" t="s">
        <v>624</v>
      </c>
      <c r="W143">
        <v>0</v>
      </c>
      <c r="X143">
        <v>0</v>
      </c>
      <c r="Y143">
        <v>16320</v>
      </c>
      <c r="Z143">
        <v>0</v>
      </c>
      <c r="AA143">
        <v>0</v>
      </c>
      <c r="AB143">
        <v>16320</v>
      </c>
      <c r="AC143">
        <v>0</v>
      </c>
      <c r="AE143" s="16">
        <f t="shared" si="14"/>
        <v>0</v>
      </c>
      <c r="AF143" s="16">
        <f t="shared" si="15"/>
        <v>0</v>
      </c>
      <c r="AG143" s="16">
        <f t="shared" si="16"/>
        <v>0</v>
      </c>
      <c r="AH143" s="16">
        <f t="shared" si="17"/>
        <v>0</v>
      </c>
      <c r="AI143" s="16">
        <f t="shared" si="18"/>
        <v>1</v>
      </c>
      <c r="AJ143" s="16">
        <f t="shared" si="19"/>
        <v>0</v>
      </c>
      <c r="AK143" t="str">
        <f t="shared" si="20"/>
        <v>no</v>
      </c>
    </row>
    <row r="144" spans="1:37" x14ac:dyDescent="0.2">
      <c r="A144" s="35"/>
      <c r="B144" s="8"/>
      <c r="C144" s="8"/>
      <c r="D144" s="8"/>
      <c r="E144" s="8"/>
      <c r="F144" s="8"/>
      <c r="G144" s="8"/>
      <c r="H144" s="8"/>
      <c r="I144" s="8"/>
      <c r="K144" s="16">
        <v>137</v>
      </c>
      <c r="L144" t="s">
        <v>769</v>
      </c>
      <c r="M144">
        <v>0</v>
      </c>
      <c r="N144">
        <v>0</v>
      </c>
      <c r="O144">
        <v>123</v>
      </c>
      <c r="P144">
        <v>0</v>
      </c>
      <c r="Q144">
        <v>0</v>
      </c>
      <c r="R144">
        <v>123</v>
      </c>
      <c r="S144">
        <v>0</v>
      </c>
      <c r="U144" s="16">
        <v>137</v>
      </c>
      <c r="V144" t="s">
        <v>769</v>
      </c>
      <c r="W144">
        <v>0</v>
      </c>
      <c r="X144">
        <v>0</v>
      </c>
      <c r="Y144">
        <v>16320</v>
      </c>
      <c r="Z144">
        <v>0</v>
      </c>
      <c r="AA144">
        <v>0</v>
      </c>
      <c r="AB144">
        <v>16320</v>
      </c>
      <c r="AC144">
        <v>0</v>
      </c>
      <c r="AE144" s="16">
        <f t="shared" si="14"/>
        <v>0</v>
      </c>
      <c r="AF144" s="16">
        <f t="shared" si="15"/>
        <v>0</v>
      </c>
      <c r="AG144" s="16">
        <f t="shared" si="16"/>
        <v>0</v>
      </c>
      <c r="AH144" s="16">
        <f t="shared" si="17"/>
        <v>0</v>
      </c>
      <c r="AI144" s="16">
        <f t="shared" si="18"/>
        <v>1</v>
      </c>
      <c r="AJ144" s="16">
        <f t="shared" si="19"/>
        <v>0</v>
      </c>
      <c r="AK144" t="str">
        <f t="shared" si="20"/>
        <v>no</v>
      </c>
    </row>
    <row r="145" spans="1:37" x14ac:dyDescent="0.2">
      <c r="A145" s="35"/>
      <c r="B145" s="8"/>
      <c r="C145" s="8"/>
      <c r="D145" s="8"/>
      <c r="E145" s="8"/>
      <c r="F145" s="8"/>
      <c r="G145" s="8"/>
      <c r="H145" s="8"/>
      <c r="I145" s="8"/>
      <c r="K145" s="16">
        <v>138</v>
      </c>
      <c r="L145" t="s">
        <v>625</v>
      </c>
      <c r="M145">
        <v>103</v>
      </c>
      <c r="N145">
        <v>0</v>
      </c>
      <c r="O145">
        <v>20</v>
      </c>
      <c r="P145">
        <v>83.74</v>
      </c>
      <c r="Q145">
        <v>98</v>
      </c>
      <c r="R145">
        <v>25</v>
      </c>
      <c r="S145">
        <v>79.67</v>
      </c>
      <c r="U145" s="16">
        <v>138</v>
      </c>
      <c r="V145" t="s">
        <v>625</v>
      </c>
      <c r="W145">
        <v>0</v>
      </c>
      <c r="X145">
        <v>0</v>
      </c>
      <c r="Y145">
        <v>16320</v>
      </c>
      <c r="Z145">
        <v>0</v>
      </c>
      <c r="AA145">
        <v>0</v>
      </c>
      <c r="AB145">
        <v>16320</v>
      </c>
      <c r="AC145">
        <v>0</v>
      </c>
      <c r="AE145" s="16">
        <f t="shared" si="14"/>
        <v>0</v>
      </c>
      <c r="AF145" s="16">
        <f t="shared" si="15"/>
        <v>1</v>
      </c>
      <c r="AG145" s="16">
        <f t="shared" si="16"/>
        <v>0</v>
      </c>
      <c r="AH145" s="16">
        <f t="shared" si="17"/>
        <v>1</v>
      </c>
      <c r="AI145" s="16">
        <f t="shared" si="18"/>
        <v>0</v>
      </c>
      <c r="AJ145" s="16">
        <f t="shared" si="19"/>
        <v>1</v>
      </c>
      <c r="AK145" t="str">
        <f t="shared" si="20"/>
        <v>yes</v>
      </c>
    </row>
    <row r="146" spans="1:37" x14ac:dyDescent="0.2">
      <c r="A146" s="35"/>
      <c r="B146" s="8"/>
      <c r="C146" s="8"/>
      <c r="D146" s="8"/>
      <c r="E146" s="8"/>
      <c r="F146" s="8"/>
      <c r="G146" s="8"/>
      <c r="H146" s="8"/>
      <c r="I146" s="8"/>
      <c r="K146" s="16">
        <v>139</v>
      </c>
      <c r="L146" t="s">
        <v>626</v>
      </c>
      <c r="M146">
        <v>0</v>
      </c>
      <c r="N146">
        <v>0</v>
      </c>
      <c r="O146">
        <v>123</v>
      </c>
      <c r="P146">
        <v>0</v>
      </c>
      <c r="Q146">
        <v>0</v>
      </c>
      <c r="R146">
        <v>123</v>
      </c>
      <c r="S146">
        <v>0</v>
      </c>
      <c r="U146" s="16">
        <v>139</v>
      </c>
      <c r="V146" t="s">
        <v>626</v>
      </c>
      <c r="W146">
        <v>396</v>
      </c>
      <c r="X146">
        <v>0</v>
      </c>
      <c r="Y146">
        <v>15924</v>
      </c>
      <c r="Z146">
        <v>2.4300000000000002</v>
      </c>
      <c r="AA146">
        <v>188</v>
      </c>
      <c r="AB146">
        <v>16132</v>
      </c>
      <c r="AC146">
        <v>1.1499999999999999</v>
      </c>
      <c r="AE146" s="16">
        <f t="shared" si="14"/>
        <v>0</v>
      </c>
      <c r="AF146" s="16">
        <f t="shared" si="15"/>
        <v>0</v>
      </c>
      <c r="AG146" s="16">
        <f t="shared" si="16"/>
        <v>1</v>
      </c>
      <c r="AH146" s="16">
        <f t="shared" si="17"/>
        <v>1</v>
      </c>
      <c r="AI146" s="16">
        <f t="shared" si="18"/>
        <v>0</v>
      </c>
      <c r="AJ146" s="16">
        <f t="shared" si="19"/>
        <v>1</v>
      </c>
      <c r="AK146" t="str">
        <f t="shared" si="20"/>
        <v>yes</v>
      </c>
    </row>
    <row r="147" spans="1:37" x14ac:dyDescent="0.2">
      <c r="A147" s="35"/>
      <c r="B147" s="8"/>
      <c r="C147" s="8"/>
      <c r="D147" s="8"/>
      <c r="E147" s="8"/>
      <c r="F147" s="8"/>
      <c r="G147" s="8"/>
      <c r="H147" s="8"/>
      <c r="I147" s="8"/>
      <c r="K147" s="16">
        <v>140</v>
      </c>
      <c r="L147" t="s">
        <v>627</v>
      </c>
      <c r="M147">
        <v>0</v>
      </c>
      <c r="N147">
        <v>0</v>
      </c>
      <c r="O147">
        <v>123</v>
      </c>
      <c r="P147">
        <v>0</v>
      </c>
      <c r="Q147">
        <v>0</v>
      </c>
      <c r="R147">
        <v>123</v>
      </c>
      <c r="S147">
        <v>0</v>
      </c>
      <c r="U147" s="16">
        <v>140</v>
      </c>
      <c r="V147" t="s">
        <v>627</v>
      </c>
      <c r="W147">
        <v>16156</v>
      </c>
      <c r="X147">
        <v>12</v>
      </c>
      <c r="Y147">
        <v>152</v>
      </c>
      <c r="Z147">
        <v>99</v>
      </c>
      <c r="AA147">
        <v>2008</v>
      </c>
      <c r="AB147">
        <v>14300</v>
      </c>
      <c r="AC147">
        <v>12.3</v>
      </c>
      <c r="AE147" s="16">
        <f t="shared" si="14"/>
        <v>0</v>
      </c>
      <c r="AF147" s="16">
        <f t="shared" si="15"/>
        <v>0</v>
      </c>
      <c r="AG147" s="16">
        <f t="shared" si="16"/>
        <v>1</v>
      </c>
      <c r="AH147" s="16">
        <f t="shared" si="17"/>
        <v>1</v>
      </c>
      <c r="AI147" s="16">
        <f t="shared" si="18"/>
        <v>0</v>
      </c>
      <c r="AJ147" s="16">
        <f t="shared" si="19"/>
        <v>1</v>
      </c>
      <c r="AK147" t="str">
        <f t="shared" si="20"/>
        <v>yes</v>
      </c>
    </row>
    <row r="148" spans="1:37" x14ac:dyDescent="0.2">
      <c r="A148" s="35"/>
      <c r="B148" s="8"/>
      <c r="C148" s="8"/>
      <c r="D148" s="8"/>
      <c r="E148" s="8"/>
      <c r="F148" s="8"/>
      <c r="G148" s="8"/>
      <c r="H148" s="8"/>
      <c r="I148" s="8"/>
      <c r="K148" s="16">
        <v>141</v>
      </c>
      <c r="L148" t="s">
        <v>628</v>
      </c>
      <c r="M148">
        <v>0</v>
      </c>
      <c r="N148">
        <v>0</v>
      </c>
      <c r="O148">
        <v>123</v>
      </c>
      <c r="P148">
        <v>0</v>
      </c>
      <c r="Q148">
        <v>0</v>
      </c>
      <c r="R148">
        <v>123</v>
      </c>
      <c r="S148">
        <v>0</v>
      </c>
      <c r="U148" s="16">
        <v>141</v>
      </c>
      <c r="V148" t="s">
        <v>628</v>
      </c>
      <c r="W148">
        <v>15062</v>
      </c>
      <c r="X148">
        <v>6</v>
      </c>
      <c r="Y148">
        <v>1252</v>
      </c>
      <c r="Z148">
        <v>92.29</v>
      </c>
      <c r="AA148">
        <v>1852</v>
      </c>
      <c r="AB148">
        <v>14462</v>
      </c>
      <c r="AC148">
        <v>11.35</v>
      </c>
      <c r="AE148" s="16">
        <f t="shared" si="14"/>
        <v>0</v>
      </c>
      <c r="AF148" s="16">
        <f t="shared" si="15"/>
        <v>0</v>
      </c>
      <c r="AG148" s="16">
        <f t="shared" si="16"/>
        <v>1</v>
      </c>
      <c r="AH148" s="16">
        <f t="shared" si="17"/>
        <v>1</v>
      </c>
      <c r="AI148" s="16">
        <f t="shared" si="18"/>
        <v>0</v>
      </c>
      <c r="AJ148" s="16">
        <f t="shared" si="19"/>
        <v>1</v>
      </c>
      <c r="AK148" t="str">
        <f t="shared" si="20"/>
        <v>yes</v>
      </c>
    </row>
    <row r="149" spans="1:37" x14ac:dyDescent="0.2">
      <c r="A149" s="35"/>
      <c r="B149" s="8"/>
      <c r="C149" s="8"/>
      <c r="D149" s="8"/>
      <c r="E149" s="8"/>
      <c r="F149" s="8"/>
      <c r="G149" s="8"/>
      <c r="H149" s="8"/>
      <c r="I149" s="8"/>
      <c r="K149" s="16">
        <v>142</v>
      </c>
      <c r="L149" t="s">
        <v>629</v>
      </c>
      <c r="M149">
        <v>0</v>
      </c>
      <c r="N149">
        <v>0</v>
      </c>
      <c r="O149">
        <v>123</v>
      </c>
      <c r="P149">
        <v>0</v>
      </c>
      <c r="Q149">
        <v>0</v>
      </c>
      <c r="R149">
        <v>123</v>
      </c>
      <c r="S149">
        <v>0</v>
      </c>
      <c r="U149" s="16">
        <v>142</v>
      </c>
      <c r="V149" t="s">
        <v>629</v>
      </c>
      <c r="W149">
        <v>0</v>
      </c>
      <c r="X149">
        <v>0</v>
      </c>
      <c r="Y149">
        <v>16320</v>
      </c>
      <c r="Z149">
        <v>0</v>
      </c>
      <c r="AA149">
        <v>0</v>
      </c>
      <c r="AB149">
        <v>16320</v>
      </c>
      <c r="AC149">
        <v>0</v>
      </c>
      <c r="AE149" s="16">
        <f t="shared" si="14"/>
        <v>0</v>
      </c>
      <c r="AF149" s="16">
        <f t="shared" si="15"/>
        <v>0</v>
      </c>
      <c r="AG149" s="16">
        <f t="shared" si="16"/>
        <v>0</v>
      </c>
      <c r="AH149" s="16">
        <f t="shared" si="17"/>
        <v>0</v>
      </c>
      <c r="AI149" s="16">
        <f t="shared" si="18"/>
        <v>1</v>
      </c>
      <c r="AJ149" s="16">
        <f t="shared" si="19"/>
        <v>0</v>
      </c>
      <c r="AK149" t="str">
        <f t="shared" si="20"/>
        <v>no</v>
      </c>
    </row>
    <row r="150" spans="1:37" x14ac:dyDescent="0.2">
      <c r="A150" s="35"/>
      <c r="B150" s="8"/>
      <c r="C150" s="8"/>
      <c r="D150" s="8"/>
      <c r="E150" s="8"/>
      <c r="F150" s="8"/>
      <c r="G150" s="8"/>
      <c r="H150" s="8"/>
      <c r="I150" s="8"/>
      <c r="K150" s="16">
        <v>143</v>
      </c>
      <c r="L150" t="s">
        <v>630</v>
      </c>
      <c r="M150">
        <v>98</v>
      </c>
      <c r="N150">
        <v>0</v>
      </c>
      <c r="O150">
        <v>25</v>
      </c>
      <c r="P150">
        <v>79.67</v>
      </c>
      <c r="Q150">
        <v>93</v>
      </c>
      <c r="R150">
        <v>30</v>
      </c>
      <c r="S150">
        <v>75.61</v>
      </c>
      <c r="U150" s="16">
        <v>143</v>
      </c>
      <c r="V150" t="s">
        <v>630</v>
      </c>
      <c r="W150">
        <v>0</v>
      </c>
      <c r="X150">
        <v>0</v>
      </c>
      <c r="Y150">
        <v>16320</v>
      </c>
      <c r="Z150">
        <v>0</v>
      </c>
      <c r="AA150">
        <v>0</v>
      </c>
      <c r="AB150">
        <v>16320</v>
      </c>
      <c r="AC150">
        <v>0</v>
      </c>
      <c r="AE150" s="16">
        <f t="shared" si="14"/>
        <v>0</v>
      </c>
      <c r="AF150" s="16">
        <f t="shared" si="15"/>
        <v>1</v>
      </c>
      <c r="AG150" s="16">
        <f t="shared" si="16"/>
        <v>0</v>
      </c>
      <c r="AH150" s="16">
        <f t="shared" si="17"/>
        <v>1</v>
      </c>
      <c r="AI150" s="16">
        <f t="shared" si="18"/>
        <v>0</v>
      </c>
      <c r="AJ150" s="16">
        <f t="shared" si="19"/>
        <v>1</v>
      </c>
      <c r="AK150" t="str">
        <f t="shared" si="20"/>
        <v>yes</v>
      </c>
    </row>
    <row r="151" spans="1:37" x14ac:dyDescent="0.2">
      <c r="A151" s="35"/>
      <c r="B151" s="8"/>
      <c r="C151" s="8"/>
      <c r="D151" s="8"/>
      <c r="E151" s="8"/>
      <c r="F151" s="8"/>
      <c r="G151" s="8"/>
      <c r="H151" s="8"/>
      <c r="I151" s="8"/>
      <c r="K151" s="16">
        <v>144</v>
      </c>
      <c r="L151" t="s">
        <v>631</v>
      </c>
      <c r="M151">
        <v>0</v>
      </c>
      <c r="N151">
        <v>0</v>
      </c>
      <c r="O151">
        <v>123</v>
      </c>
      <c r="P151">
        <v>0</v>
      </c>
      <c r="Q151">
        <v>0</v>
      </c>
      <c r="R151">
        <v>123</v>
      </c>
      <c r="S151">
        <v>0</v>
      </c>
      <c r="U151" s="16">
        <v>144</v>
      </c>
      <c r="V151" t="s">
        <v>631</v>
      </c>
      <c r="W151">
        <v>0</v>
      </c>
      <c r="X151">
        <v>0</v>
      </c>
      <c r="Y151">
        <v>16320</v>
      </c>
      <c r="Z151">
        <v>0</v>
      </c>
      <c r="AA151">
        <v>0</v>
      </c>
      <c r="AB151">
        <v>16320</v>
      </c>
      <c r="AC151">
        <v>0</v>
      </c>
      <c r="AE151" s="16">
        <f t="shared" si="14"/>
        <v>0</v>
      </c>
      <c r="AF151" s="16">
        <f t="shared" si="15"/>
        <v>0</v>
      </c>
      <c r="AG151" s="16">
        <f t="shared" si="16"/>
        <v>0</v>
      </c>
      <c r="AH151" s="16">
        <f t="shared" si="17"/>
        <v>0</v>
      </c>
      <c r="AI151" s="16">
        <f t="shared" si="18"/>
        <v>1</v>
      </c>
      <c r="AJ151" s="16">
        <f t="shared" si="19"/>
        <v>0</v>
      </c>
      <c r="AK151" t="str">
        <f t="shared" si="20"/>
        <v>no</v>
      </c>
    </row>
    <row r="152" spans="1:37" x14ac:dyDescent="0.2">
      <c r="A152" s="35"/>
      <c r="B152" s="8"/>
      <c r="C152" s="8"/>
      <c r="D152" s="8"/>
      <c r="E152" s="8"/>
      <c r="F152" s="8"/>
      <c r="G152" s="8"/>
      <c r="H152" s="8"/>
      <c r="I152" s="8"/>
      <c r="K152" s="16">
        <v>145</v>
      </c>
      <c r="L152" t="s">
        <v>632</v>
      </c>
      <c r="M152">
        <v>97</v>
      </c>
      <c r="N152">
        <v>0</v>
      </c>
      <c r="O152">
        <v>26</v>
      </c>
      <c r="P152">
        <v>78.86</v>
      </c>
      <c r="Q152">
        <v>92</v>
      </c>
      <c r="R152">
        <v>31</v>
      </c>
      <c r="S152">
        <v>74.8</v>
      </c>
      <c r="U152" s="16">
        <v>145</v>
      </c>
      <c r="V152" t="s">
        <v>632</v>
      </c>
      <c r="W152">
        <v>0</v>
      </c>
      <c r="X152">
        <v>0</v>
      </c>
      <c r="Y152">
        <v>16320</v>
      </c>
      <c r="Z152">
        <v>0</v>
      </c>
      <c r="AA152">
        <v>0</v>
      </c>
      <c r="AB152">
        <v>16320</v>
      </c>
      <c r="AC152">
        <v>0</v>
      </c>
      <c r="AE152" s="16">
        <f t="shared" si="14"/>
        <v>0</v>
      </c>
      <c r="AF152" s="16">
        <f t="shared" si="15"/>
        <v>1</v>
      </c>
      <c r="AG152" s="16">
        <f t="shared" si="16"/>
        <v>0</v>
      </c>
      <c r="AH152" s="16">
        <f t="shared" si="17"/>
        <v>1</v>
      </c>
      <c r="AI152" s="16">
        <f t="shared" si="18"/>
        <v>0</v>
      </c>
      <c r="AJ152" s="16">
        <f t="shared" si="19"/>
        <v>1</v>
      </c>
      <c r="AK152" t="str">
        <f t="shared" si="20"/>
        <v>yes</v>
      </c>
    </row>
    <row r="153" spans="1:37" x14ac:dyDescent="0.2">
      <c r="A153" s="35"/>
      <c r="B153" s="8"/>
      <c r="C153" s="8"/>
      <c r="D153" s="8"/>
      <c r="E153" s="8"/>
      <c r="F153" s="8"/>
      <c r="G153" s="8"/>
      <c r="H153" s="8"/>
      <c r="I153" s="8"/>
      <c r="K153" s="16">
        <v>146</v>
      </c>
      <c r="L153" t="s">
        <v>633</v>
      </c>
      <c r="M153">
        <v>98</v>
      </c>
      <c r="N153">
        <v>0</v>
      </c>
      <c r="O153">
        <v>25</v>
      </c>
      <c r="P153">
        <v>79.67</v>
      </c>
      <c r="Q153">
        <v>93</v>
      </c>
      <c r="R153">
        <v>30</v>
      </c>
      <c r="S153">
        <v>75.61</v>
      </c>
      <c r="U153" s="16">
        <v>146</v>
      </c>
      <c r="V153" t="s">
        <v>633</v>
      </c>
      <c r="W153">
        <v>0</v>
      </c>
      <c r="X153">
        <v>0</v>
      </c>
      <c r="Y153">
        <v>16320</v>
      </c>
      <c r="Z153">
        <v>0</v>
      </c>
      <c r="AA153">
        <v>0</v>
      </c>
      <c r="AB153">
        <v>16320</v>
      </c>
      <c r="AC153">
        <v>0</v>
      </c>
      <c r="AE153" s="16">
        <f t="shared" si="14"/>
        <v>0</v>
      </c>
      <c r="AF153" s="16">
        <f t="shared" si="15"/>
        <v>1</v>
      </c>
      <c r="AG153" s="16">
        <f t="shared" si="16"/>
        <v>0</v>
      </c>
      <c r="AH153" s="16">
        <f t="shared" si="17"/>
        <v>1</v>
      </c>
      <c r="AI153" s="16">
        <f t="shared" si="18"/>
        <v>0</v>
      </c>
      <c r="AJ153" s="16">
        <f t="shared" si="19"/>
        <v>1</v>
      </c>
      <c r="AK153" t="str">
        <f t="shared" si="20"/>
        <v>yes</v>
      </c>
    </row>
    <row r="154" spans="1:37" x14ac:dyDescent="0.2">
      <c r="A154" s="35"/>
      <c r="B154" s="8"/>
      <c r="C154" s="8"/>
      <c r="D154" s="8"/>
      <c r="E154" s="8"/>
      <c r="F154" s="8"/>
      <c r="G154" s="8"/>
      <c r="H154" s="8"/>
      <c r="I154" s="8"/>
      <c r="K154" s="16">
        <v>147</v>
      </c>
      <c r="L154" t="s">
        <v>634</v>
      </c>
      <c r="M154">
        <v>98</v>
      </c>
      <c r="N154">
        <v>0</v>
      </c>
      <c r="O154">
        <v>25</v>
      </c>
      <c r="P154">
        <v>79.67</v>
      </c>
      <c r="Q154">
        <v>93</v>
      </c>
      <c r="R154">
        <v>30</v>
      </c>
      <c r="S154">
        <v>75.61</v>
      </c>
      <c r="U154" s="16">
        <v>147</v>
      </c>
      <c r="V154" t="s">
        <v>634</v>
      </c>
      <c r="W154">
        <v>0</v>
      </c>
      <c r="X154">
        <v>0</v>
      </c>
      <c r="Y154">
        <v>16320</v>
      </c>
      <c r="Z154">
        <v>0</v>
      </c>
      <c r="AA154">
        <v>0</v>
      </c>
      <c r="AB154">
        <v>16320</v>
      </c>
      <c r="AC154">
        <v>0</v>
      </c>
      <c r="AE154" s="16">
        <f t="shared" si="14"/>
        <v>0</v>
      </c>
      <c r="AF154" s="16">
        <f t="shared" si="15"/>
        <v>1</v>
      </c>
      <c r="AG154" s="16">
        <f t="shared" si="16"/>
        <v>0</v>
      </c>
      <c r="AH154" s="16">
        <f t="shared" si="17"/>
        <v>1</v>
      </c>
      <c r="AI154" s="16">
        <f t="shared" si="18"/>
        <v>0</v>
      </c>
      <c r="AJ154" s="16">
        <f t="shared" si="19"/>
        <v>1</v>
      </c>
      <c r="AK154" t="str">
        <f t="shared" si="20"/>
        <v>yes</v>
      </c>
    </row>
    <row r="155" spans="1:37" x14ac:dyDescent="0.2">
      <c r="A155" s="35"/>
      <c r="B155" s="8"/>
      <c r="C155" s="8"/>
      <c r="D155" s="8"/>
      <c r="E155" s="8"/>
      <c r="F155" s="8"/>
      <c r="G155" s="8"/>
      <c r="H155" s="8"/>
      <c r="I155" s="8"/>
      <c r="K155" s="16">
        <v>148</v>
      </c>
      <c r="L155" t="s">
        <v>635</v>
      </c>
      <c r="M155">
        <v>98</v>
      </c>
      <c r="N155">
        <v>0</v>
      </c>
      <c r="O155">
        <v>25</v>
      </c>
      <c r="P155">
        <v>79.67</v>
      </c>
      <c r="Q155">
        <v>93</v>
      </c>
      <c r="R155">
        <v>30</v>
      </c>
      <c r="S155">
        <v>75.61</v>
      </c>
      <c r="U155" s="16">
        <v>148</v>
      </c>
      <c r="V155" t="s">
        <v>635</v>
      </c>
      <c r="W155">
        <v>0</v>
      </c>
      <c r="X155">
        <v>0</v>
      </c>
      <c r="Y155">
        <v>16320</v>
      </c>
      <c r="Z155">
        <v>0</v>
      </c>
      <c r="AA155">
        <v>0</v>
      </c>
      <c r="AB155">
        <v>16320</v>
      </c>
      <c r="AC155">
        <v>0</v>
      </c>
      <c r="AE155" s="16">
        <f t="shared" si="14"/>
        <v>0</v>
      </c>
      <c r="AF155" s="16">
        <f t="shared" si="15"/>
        <v>1</v>
      </c>
      <c r="AG155" s="16">
        <f t="shared" si="16"/>
        <v>0</v>
      </c>
      <c r="AH155" s="16">
        <f t="shared" si="17"/>
        <v>1</v>
      </c>
      <c r="AI155" s="16">
        <f t="shared" si="18"/>
        <v>0</v>
      </c>
      <c r="AJ155" s="16">
        <f t="shared" si="19"/>
        <v>1</v>
      </c>
      <c r="AK155" t="str">
        <f t="shared" si="20"/>
        <v>yes</v>
      </c>
    </row>
    <row r="156" spans="1:37" x14ac:dyDescent="0.2">
      <c r="A156" s="35"/>
      <c r="B156" s="8"/>
      <c r="C156" s="8"/>
      <c r="D156" s="8"/>
      <c r="E156" s="8"/>
      <c r="F156" s="8"/>
      <c r="G156" s="8"/>
      <c r="H156" s="8"/>
      <c r="I156" s="8"/>
      <c r="K156" s="16">
        <v>149</v>
      </c>
      <c r="L156" t="s">
        <v>636</v>
      </c>
      <c r="M156">
        <v>98</v>
      </c>
      <c r="N156">
        <v>0</v>
      </c>
      <c r="O156">
        <v>25</v>
      </c>
      <c r="P156">
        <v>79.67</v>
      </c>
      <c r="Q156">
        <v>93</v>
      </c>
      <c r="R156">
        <v>30</v>
      </c>
      <c r="S156">
        <v>75.61</v>
      </c>
      <c r="U156" s="16">
        <v>149</v>
      </c>
      <c r="V156" t="s">
        <v>636</v>
      </c>
      <c r="W156">
        <v>0</v>
      </c>
      <c r="X156">
        <v>0</v>
      </c>
      <c r="Y156">
        <v>16320</v>
      </c>
      <c r="Z156">
        <v>0</v>
      </c>
      <c r="AA156">
        <v>0</v>
      </c>
      <c r="AB156">
        <v>16320</v>
      </c>
      <c r="AC156">
        <v>0</v>
      </c>
      <c r="AE156" s="16">
        <f t="shared" si="14"/>
        <v>0</v>
      </c>
      <c r="AF156" s="16">
        <f t="shared" si="15"/>
        <v>1</v>
      </c>
      <c r="AG156" s="16">
        <f t="shared" si="16"/>
        <v>0</v>
      </c>
      <c r="AH156" s="16">
        <f t="shared" si="17"/>
        <v>1</v>
      </c>
      <c r="AI156" s="16">
        <f t="shared" si="18"/>
        <v>0</v>
      </c>
      <c r="AJ156" s="16">
        <f t="shared" si="19"/>
        <v>1</v>
      </c>
      <c r="AK156" t="str">
        <f t="shared" si="20"/>
        <v>yes</v>
      </c>
    </row>
    <row r="157" spans="1:37" x14ac:dyDescent="0.2">
      <c r="A157" s="35"/>
      <c r="B157" s="8"/>
      <c r="C157" s="8"/>
      <c r="D157" s="8"/>
      <c r="E157" s="8"/>
      <c r="F157" s="8"/>
      <c r="G157" s="8"/>
      <c r="H157" s="8"/>
      <c r="I157" s="8"/>
      <c r="K157" s="16">
        <v>150</v>
      </c>
      <c r="L157" t="s">
        <v>637</v>
      </c>
      <c r="M157">
        <v>67</v>
      </c>
      <c r="N157">
        <v>0</v>
      </c>
      <c r="O157">
        <v>56</v>
      </c>
      <c r="P157">
        <v>54.47</v>
      </c>
      <c r="Q157">
        <v>62</v>
      </c>
      <c r="R157">
        <v>61</v>
      </c>
      <c r="S157">
        <v>50.41</v>
      </c>
      <c r="U157" s="16">
        <v>150</v>
      </c>
      <c r="V157" t="s">
        <v>637</v>
      </c>
      <c r="W157">
        <v>0</v>
      </c>
      <c r="X157">
        <v>0</v>
      </c>
      <c r="Y157">
        <v>16320</v>
      </c>
      <c r="Z157">
        <v>0</v>
      </c>
      <c r="AA157">
        <v>0</v>
      </c>
      <c r="AB157">
        <v>16320</v>
      </c>
      <c r="AC157">
        <v>0</v>
      </c>
      <c r="AE157" s="16">
        <f t="shared" si="14"/>
        <v>0</v>
      </c>
      <c r="AF157" s="16">
        <f t="shared" si="15"/>
        <v>1</v>
      </c>
      <c r="AG157" s="16">
        <f t="shared" si="16"/>
        <v>0</v>
      </c>
      <c r="AH157" s="16">
        <f t="shared" si="17"/>
        <v>1</v>
      </c>
      <c r="AI157" s="16">
        <f t="shared" si="18"/>
        <v>0</v>
      </c>
      <c r="AJ157" s="16">
        <f t="shared" si="19"/>
        <v>1</v>
      </c>
      <c r="AK157" t="str">
        <f t="shared" si="20"/>
        <v>yes</v>
      </c>
    </row>
    <row r="158" spans="1:37" x14ac:dyDescent="0.2">
      <c r="A158" s="35"/>
      <c r="B158" s="8"/>
      <c r="C158" s="8"/>
      <c r="D158" s="8"/>
      <c r="E158" s="8"/>
      <c r="F158" s="8"/>
      <c r="G158" s="8"/>
      <c r="H158" s="8"/>
      <c r="I158" s="8"/>
      <c r="K158" s="16">
        <v>151</v>
      </c>
      <c r="L158" t="s">
        <v>638</v>
      </c>
      <c r="M158">
        <v>103</v>
      </c>
      <c r="N158">
        <v>0</v>
      </c>
      <c r="O158">
        <v>20</v>
      </c>
      <c r="P158">
        <v>83.74</v>
      </c>
      <c r="Q158">
        <v>98</v>
      </c>
      <c r="R158">
        <v>25</v>
      </c>
      <c r="S158">
        <v>79.67</v>
      </c>
      <c r="U158" s="16">
        <v>151</v>
      </c>
      <c r="V158" t="s">
        <v>638</v>
      </c>
      <c r="W158">
        <v>0</v>
      </c>
      <c r="X158">
        <v>0</v>
      </c>
      <c r="Y158">
        <v>16320</v>
      </c>
      <c r="Z158">
        <v>0</v>
      </c>
      <c r="AA158">
        <v>0</v>
      </c>
      <c r="AB158">
        <v>16320</v>
      </c>
      <c r="AC158">
        <v>0</v>
      </c>
      <c r="AE158" s="16">
        <f t="shared" si="14"/>
        <v>0</v>
      </c>
      <c r="AF158" s="16">
        <f t="shared" si="15"/>
        <v>1</v>
      </c>
      <c r="AG158" s="16">
        <f t="shared" si="16"/>
        <v>0</v>
      </c>
      <c r="AH158" s="16">
        <f t="shared" si="17"/>
        <v>1</v>
      </c>
      <c r="AI158" s="16">
        <f t="shared" si="18"/>
        <v>0</v>
      </c>
      <c r="AJ158" s="16">
        <f t="shared" si="19"/>
        <v>1</v>
      </c>
      <c r="AK158" t="str">
        <f t="shared" si="20"/>
        <v>yes</v>
      </c>
    </row>
    <row r="159" spans="1:37" x14ac:dyDescent="0.2">
      <c r="A159" s="35"/>
      <c r="B159" s="8"/>
      <c r="C159" s="8"/>
      <c r="D159" s="8"/>
      <c r="E159" s="8"/>
      <c r="F159" s="8"/>
      <c r="G159" s="8"/>
      <c r="H159" s="8"/>
      <c r="I159" s="8"/>
      <c r="K159" s="16">
        <v>152</v>
      </c>
      <c r="L159" t="s">
        <v>639</v>
      </c>
      <c r="M159">
        <v>100</v>
      </c>
      <c r="N159">
        <v>0</v>
      </c>
      <c r="O159">
        <v>23</v>
      </c>
      <c r="P159">
        <v>81.3</v>
      </c>
      <c r="Q159">
        <v>95</v>
      </c>
      <c r="R159">
        <v>28</v>
      </c>
      <c r="S159">
        <v>77.239999999999995</v>
      </c>
      <c r="U159" s="16">
        <v>152</v>
      </c>
      <c r="V159" t="s">
        <v>639</v>
      </c>
      <c r="W159">
        <v>0</v>
      </c>
      <c r="X159">
        <v>0</v>
      </c>
      <c r="Y159">
        <v>16320</v>
      </c>
      <c r="Z159">
        <v>0</v>
      </c>
      <c r="AA159">
        <v>0</v>
      </c>
      <c r="AB159">
        <v>16320</v>
      </c>
      <c r="AC159">
        <v>0</v>
      </c>
      <c r="AE159" s="16">
        <f t="shared" si="14"/>
        <v>0</v>
      </c>
      <c r="AF159" s="16">
        <f t="shared" si="15"/>
        <v>1</v>
      </c>
      <c r="AG159" s="16">
        <f t="shared" si="16"/>
        <v>0</v>
      </c>
      <c r="AH159" s="16">
        <f t="shared" si="17"/>
        <v>1</v>
      </c>
      <c r="AI159" s="16">
        <f t="shared" si="18"/>
        <v>0</v>
      </c>
      <c r="AJ159" s="16">
        <f t="shared" si="19"/>
        <v>1</v>
      </c>
      <c r="AK159" t="str">
        <f t="shared" si="20"/>
        <v>yes</v>
      </c>
    </row>
    <row r="160" spans="1:37" x14ac:dyDescent="0.2">
      <c r="A160" s="35"/>
      <c r="B160" s="8"/>
      <c r="C160" s="8"/>
      <c r="D160" s="8"/>
      <c r="E160" s="8"/>
      <c r="F160" s="8"/>
      <c r="G160" s="8"/>
      <c r="H160" s="8"/>
      <c r="I160" s="8"/>
      <c r="K160" s="16">
        <v>153</v>
      </c>
      <c r="L160" t="s">
        <v>640</v>
      </c>
      <c r="M160">
        <v>100</v>
      </c>
      <c r="N160">
        <v>0</v>
      </c>
      <c r="O160">
        <v>23</v>
      </c>
      <c r="P160">
        <v>81.3</v>
      </c>
      <c r="Q160">
        <v>95</v>
      </c>
      <c r="R160">
        <v>28</v>
      </c>
      <c r="S160">
        <v>77.239999999999995</v>
      </c>
      <c r="U160" s="16">
        <v>153</v>
      </c>
      <c r="V160" t="s">
        <v>640</v>
      </c>
      <c r="W160">
        <v>0</v>
      </c>
      <c r="X160">
        <v>0</v>
      </c>
      <c r="Y160">
        <v>16320</v>
      </c>
      <c r="Z160">
        <v>0</v>
      </c>
      <c r="AA160">
        <v>0</v>
      </c>
      <c r="AB160">
        <v>16320</v>
      </c>
      <c r="AC160">
        <v>0</v>
      </c>
      <c r="AE160" s="16">
        <f t="shared" si="14"/>
        <v>0</v>
      </c>
      <c r="AF160" s="16">
        <f t="shared" si="15"/>
        <v>1</v>
      </c>
      <c r="AG160" s="16">
        <f t="shared" si="16"/>
        <v>0</v>
      </c>
      <c r="AH160" s="16">
        <f t="shared" si="17"/>
        <v>1</v>
      </c>
      <c r="AI160" s="16">
        <f t="shared" si="18"/>
        <v>0</v>
      </c>
      <c r="AJ160" s="16">
        <f t="shared" si="19"/>
        <v>1</v>
      </c>
      <c r="AK160" t="str">
        <f t="shared" si="20"/>
        <v>yes</v>
      </c>
    </row>
    <row r="161" spans="1:37" x14ac:dyDescent="0.2">
      <c r="A161" s="35"/>
      <c r="B161" s="8"/>
      <c r="C161" s="8"/>
      <c r="D161" s="8"/>
      <c r="E161" s="8"/>
      <c r="F161" s="8"/>
      <c r="G161" s="8"/>
      <c r="H161" s="8"/>
      <c r="I161" s="8"/>
      <c r="K161" s="16">
        <v>154</v>
      </c>
      <c r="L161" t="s">
        <v>641</v>
      </c>
      <c r="M161">
        <v>53</v>
      </c>
      <c r="N161">
        <v>0</v>
      </c>
      <c r="O161">
        <v>70</v>
      </c>
      <c r="P161">
        <v>43.09</v>
      </c>
      <c r="Q161">
        <v>48</v>
      </c>
      <c r="R161">
        <v>75</v>
      </c>
      <c r="S161">
        <v>39.020000000000003</v>
      </c>
      <c r="U161" s="16">
        <v>154</v>
      </c>
      <c r="V161" t="s">
        <v>641</v>
      </c>
      <c r="W161">
        <v>0</v>
      </c>
      <c r="X161">
        <v>0</v>
      </c>
      <c r="Y161">
        <v>16320</v>
      </c>
      <c r="Z161">
        <v>0</v>
      </c>
      <c r="AA161">
        <v>0</v>
      </c>
      <c r="AB161">
        <v>16320</v>
      </c>
      <c r="AC161">
        <v>0</v>
      </c>
      <c r="AE161" s="16">
        <f t="shared" si="14"/>
        <v>0</v>
      </c>
      <c r="AF161" s="16">
        <f t="shared" si="15"/>
        <v>1</v>
      </c>
      <c r="AG161" s="16">
        <f t="shared" si="16"/>
        <v>0</v>
      </c>
      <c r="AH161" s="16">
        <f t="shared" si="17"/>
        <v>1</v>
      </c>
      <c r="AI161" s="16">
        <f t="shared" si="18"/>
        <v>0</v>
      </c>
      <c r="AJ161" s="16">
        <f t="shared" si="19"/>
        <v>1</v>
      </c>
      <c r="AK161" t="str">
        <f t="shared" si="20"/>
        <v>yes</v>
      </c>
    </row>
    <row r="162" spans="1:37" x14ac:dyDescent="0.2">
      <c r="A162" s="35"/>
      <c r="B162" s="8"/>
      <c r="C162" s="8"/>
      <c r="D162" s="8"/>
      <c r="E162" s="8"/>
      <c r="F162" s="8"/>
      <c r="G162" s="8"/>
      <c r="H162" s="8"/>
      <c r="I162" s="8"/>
      <c r="K162" s="16">
        <v>155</v>
      </c>
      <c r="L162" t="s">
        <v>642</v>
      </c>
      <c r="M162">
        <v>71</v>
      </c>
      <c r="N162">
        <v>0</v>
      </c>
      <c r="O162">
        <v>52</v>
      </c>
      <c r="P162">
        <v>57.72</v>
      </c>
      <c r="Q162">
        <v>66</v>
      </c>
      <c r="R162">
        <v>57</v>
      </c>
      <c r="S162">
        <v>53.66</v>
      </c>
      <c r="U162" s="16">
        <v>155</v>
      </c>
      <c r="V162" t="s">
        <v>642</v>
      </c>
      <c r="W162">
        <v>0</v>
      </c>
      <c r="X162">
        <v>0</v>
      </c>
      <c r="Y162">
        <v>16320</v>
      </c>
      <c r="Z162">
        <v>0</v>
      </c>
      <c r="AA162">
        <v>0</v>
      </c>
      <c r="AB162">
        <v>16320</v>
      </c>
      <c r="AC162">
        <v>0</v>
      </c>
      <c r="AE162" s="16">
        <f t="shared" si="14"/>
        <v>0</v>
      </c>
      <c r="AF162" s="16">
        <f t="shared" si="15"/>
        <v>1</v>
      </c>
      <c r="AG162" s="16">
        <f t="shared" si="16"/>
        <v>0</v>
      </c>
      <c r="AH162" s="16">
        <f t="shared" si="17"/>
        <v>1</v>
      </c>
      <c r="AI162" s="16">
        <f t="shared" si="18"/>
        <v>0</v>
      </c>
      <c r="AJ162" s="16">
        <f t="shared" si="19"/>
        <v>1</v>
      </c>
      <c r="AK162" t="str">
        <f t="shared" si="20"/>
        <v>yes</v>
      </c>
    </row>
    <row r="163" spans="1:37" x14ac:dyDescent="0.2">
      <c r="A163" s="35"/>
      <c r="B163" s="8"/>
      <c r="C163" s="8"/>
      <c r="D163" s="8"/>
      <c r="E163" s="8"/>
      <c r="F163" s="8"/>
      <c r="G163" s="8"/>
      <c r="H163" s="8"/>
      <c r="I163" s="8"/>
      <c r="K163" s="16">
        <v>156</v>
      </c>
      <c r="L163" t="s">
        <v>643</v>
      </c>
      <c r="M163">
        <v>86</v>
      </c>
      <c r="N163">
        <v>0</v>
      </c>
      <c r="O163">
        <v>37</v>
      </c>
      <c r="P163">
        <v>69.92</v>
      </c>
      <c r="Q163">
        <v>81</v>
      </c>
      <c r="R163">
        <v>42</v>
      </c>
      <c r="S163">
        <v>65.849999999999994</v>
      </c>
      <c r="U163" s="16">
        <v>156</v>
      </c>
      <c r="V163" t="s">
        <v>643</v>
      </c>
      <c r="W163">
        <v>0</v>
      </c>
      <c r="X163">
        <v>0</v>
      </c>
      <c r="Y163">
        <v>16320</v>
      </c>
      <c r="Z163">
        <v>0</v>
      </c>
      <c r="AA163">
        <v>0</v>
      </c>
      <c r="AB163">
        <v>16320</v>
      </c>
      <c r="AC163">
        <v>0</v>
      </c>
      <c r="AE163" s="16">
        <f t="shared" si="14"/>
        <v>0</v>
      </c>
      <c r="AF163" s="16">
        <f t="shared" si="15"/>
        <v>1</v>
      </c>
      <c r="AG163" s="16">
        <f t="shared" si="16"/>
        <v>0</v>
      </c>
      <c r="AH163" s="16">
        <f t="shared" si="17"/>
        <v>1</v>
      </c>
      <c r="AI163" s="16">
        <f t="shared" si="18"/>
        <v>0</v>
      </c>
      <c r="AJ163" s="16">
        <f t="shared" si="19"/>
        <v>1</v>
      </c>
      <c r="AK163" t="str">
        <f t="shared" si="20"/>
        <v>yes</v>
      </c>
    </row>
    <row r="164" spans="1:37" x14ac:dyDescent="0.2">
      <c r="A164" s="35"/>
      <c r="B164" s="8"/>
      <c r="C164" s="8"/>
      <c r="D164" s="8"/>
      <c r="E164" s="8"/>
      <c r="F164" s="8"/>
      <c r="G164" s="8"/>
      <c r="H164" s="8"/>
      <c r="I164" s="8"/>
      <c r="K164" s="16">
        <v>157</v>
      </c>
      <c r="L164" t="s">
        <v>644</v>
      </c>
      <c r="M164">
        <v>63</v>
      </c>
      <c r="N164">
        <v>0</v>
      </c>
      <c r="O164">
        <v>60</v>
      </c>
      <c r="P164">
        <v>51.22</v>
      </c>
      <c r="Q164">
        <v>58</v>
      </c>
      <c r="R164">
        <v>65</v>
      </c>
      <c r="S164">
        <v>47.15</v>
      </c>
      <c r="U164" s="16">
        <v>157</v>
      </c>
      <c r="V164" t="s">
        <v>644</v>
      </c>
      <c r="W164">
        <v>0</v>
      </c>
      <c r="X164">
        <v>0</v>
      </c>
      <c r="Y164">
        <v>16320</v>
      </c>
      <c r="Z164">
        <v>0</v>
      </c>
      <c r="AA164">
        <v>0</v>
      </c>
      <c r="AB164">
        <v>16320</v>
      </c>
      <c r="AC164">
        <v>0</v>
      </c>
      <c r="AE164" s="16">
        <f t="shared" si="14"/>
        <v>0</v>
      </c>
      <c r="AF164" s="16">
        <f t="shared" si="15"/>
        <v>1</v>
      </c>
      <c r="AG164" s="16">
        <f t="shared" si="16"/>
        <v>0</v>
      </c>
      <c r="AH164" s="16">
        <f t="shared" si="17"/>
        <v>1</v>
      </c>
      <c r="AI164" s="16">
        <f t="shared" si="18"/>
        <v>0</v>
      </c>
      <c r="AJ164" s="16">
        <f t="shared" si="19"/>
        <v>1</v>
      </c>
      <c r="AK164" t="str">
        <f t="shared" si="20"/>
        <v>yes</v>
      </c>
    </row>
    <row r="165" spans="1:37" x14ac:dyDescent="0.2">
      <c r="A165" s="35"/>
      <c r="B165" s="8"/>
      <c r="C165" s="8"/>
      <c r="D165" s="8"/>
      <c r="E165" s="8"/>
      <c r="F165" s="8"/>
      <c r="G165" s="8"/>
      <c r="H165" s="8"/>
      <c r="I165" s="8"/>
      <c r="K165" s="16">
        <v>158</v>
      </c>
      <c r="L165" t="s">
        <v>645</v>
      </c>
      <c r="M165">
        <v>98</v>
      </c>
      <c r="N165">
        <v>0</v>
      </c>
      <c r="O165">
        <v>25</v>
      </c>
      <c r="P165">
        <v>79.67</v>
      </c>
      <c r="Q165">
        <v>93</v>
      </c>
      <c r="R165">
        <v>30</v>
      </c>
      <c r="S165">
        <v>75.61</v>
      </c>
      <c r="U165" s="16">
        <v>158</v>
      </c>
      <c r="V165" t="s">
        <v>645</v>
      </c>
      <c r="W165">
        <v>0</v>
      </c>
      <c r="X165">
        <v>0</v>
      </c>
      <c r="Y165">
        <v>16320</v>
      </c>
      <c r="Z165">
        <v>0</v>
      </c>
      <c r="AA165">
        <v>0</v>
      </c>
      <c r="AB165">
        <v>16320</v>
      </c>
      <c r="AC165">
        <v>0</v>
      </c>
      <c r="AE165" s="16">
        <f t="shared" si="14"/>
        <v>0</v>
      </c>
      <c r="AF165" s="16">
        <f t="shared" si="15"/>
        <v>1</v>
      </c>
      <c r="AG165" s="16">
        <f t="shared" si="16"/>
        <v>0</v>
      </c>
      <c r="AH165" s="16">
        <f t="shared" si="17"/>
        <v>1</v>
      </c>
      <c r="AI165" s="16">
        <f t="shared" si="18"/>
        <v>0</v>
      </c>
      <c r="AJ165" s="16">
        <f t="shared" si="19"/>
        <v>1</v>
      </c>
      <c r="AK165" t="str">
        <f t="shared" si="20"/>
        <v>yes</v>
      </c>
    </row>
    <row r="166" spans="1:37" x14ac:dyDescent="0.2">
      <c r="A166" s="35"/>
      <c r="B166" s="8"/>
      <c r="C166" s="8"/>
      <c r="D166" s="8"/>
      <c r="E166" s="8"/>
      <c r="F166" s="8"/>
      <c r="G166" s="8"/>
      <c r="H166" s="8"/>
      <c r="I166" s="8"/>
      <c r="K166" s="16">
        <v>159</v>
      </c>
      <c r="L166" t="s">
        <v>646</v>
      </c>
      <c r="M166">
        <v>81</v>
      </c>
      <c r="N166">
        <v>0</v>
      </c>
      <c r="O166">
        <v>42</v>
      </c>
      <c r="P166">
        <v>65.849999999999994</v>
      </c>
      <c r="Q166">
        <v>76</v>
      </c>
      <c r="R166">
        <v>47</v>
      </c>
      <c r="S166">
        <v>61.79</v>
      </c>
      <c r="U166" s="16">
        <v>159</v>
      </c>
      <c r="V166" t="s">
        <v>646</v>
      </c>
      <c r="W166">
        <v>0</v>
      </c>
      <c r="X166">
        <v>0</v>
      </c>
      <c r="Y166">
        <v>16320</v>
      </c>
      <c r="Z166">
        <v>0</v>
      </c>
      <c r="AA166">
        <v>0</v>
      </c>
      <c r="AB166">
        <v>16320</v>
      </c>
      <c r="AC166">
        <v>0</v>
      </c>
      <c r="AE166" s="16">
        <f t="shared" si="14"/>
        <v>0</v>
      </c>
      <c r="AF166" s="16">
        <f t="shared" si="15"/>
        <v>1</v>
      </c>
      <c r="AG166" s="16">
        <f t="shared" si="16"/>
        <v>0</v>
      </c>
      <c r="AH166" s="16">
        <f t="shared" si="17"/>
        <v>1</v>
      </c>
      <c r="AI166" s="16">
        <f t="shared" si="18"/>
        <v>0</v>
      </c>
      <c r="AJ166" s="16">
        <f t="shared" si="19"/>
        <v>1</v>
      </c>
      <c r="AK166" t="str">
        <f t="shared" si="20"/>
        <v>yes</v>
      </c>
    </row>
    <row r="167" spans="1:37" x14ac:dyDescent="0.2">
      <c r="A167" s="35"/>
      <c r="B167" s="8"/>
      <c r="C167" s="8"/>
      <c r="D167" s="8"/>
      <c r="E167" s="8"/>
      <c r="F167" s="8"/>
      <c r="G167" s="8"/>
      <c r="H167" s="8"/>
      <c r="I167" s="8"/>
      <c r="K167" s="16">
        <v>160</v>
      </c>
      <c r="L167" t="s">
        <v>647</v>
      </c>
      <c r="M167">
        <v>97</v>
      </c>
      <c r="N167">
        <v>0</v>
      </c>
      <c r="O167">
        <v>26</v>
      </c>
      <c r="P167">
        <v>78.86</v>
      </c>
      <c r="Q167">
        <v>92</v>
      </c>
      <c r="R167">
        <v>31</v>
      </c>
      <c r="S167">
        <v>74.8</v>
      </c>
      <c r="U167" s="16">
        <v>160</v>
      </c>
      <c r="V167" t="s">
        <v>647</v>
      </c>
      <c r="W167">
        <v>0</v>
      </c>
      <c r="X167">
        <v>0</v>
      </c>
      <c r="Y167">
        <v>16320</v>
      </c>
      <c r="Z167">
        <v>0</v>
      </c>
      <c r="AA167">
        <v>0</v>
      </c>
      <c r="AB167">
        <v>16320</v>
      </c>
      <c r="AC167">
        <v>0</v>
      </c>
      <c r="AE167" s="16">
        <f t="shared" si="14"/>
        <v>0</v>
      </c>
      <c r="AF167" s="16">
        <f t="shared" si="15"/>
        <v>1</v>
      </c>
      <c r="AG167" s="16">
        <f t="shared" si="16"/>
        <v>0</v>
      </c>
      <c r="AH167" s="16">
        <f t="shared" si="17"/>
        <v>1</v>
      </c>
      <c r="AI167" s="16">
        <f t="shared" si="18"/>
        <v>0</v>
      </c>
      <c r="AJ167" s="16">
        <f t="shared" si="19"/>
        <v>1</v>
      </c>
      <c r="AK167" t="str">
        <f t="shared" si="20"/>
        <v>yes</v>
      </c>
    </row>
    <row r="168" spans="1:37" x14ac:dyDescent="0.2">
      <c r="A168" s="35"/>
      <c r="B168" s="8"/>
      <c r="C168" s="8"/>
      <c r="D168" s="8"/>
      <c r="E168" s="8"/>
      <c r="F168" s="8"/>
      <c r="G168" s="8"/>
      <c r="H168" s="8"/>
      <c r="I168" s="8"/>
      <c r="K168" s="16">
        <v>161</v>
      </c>
      <c r="L168" t="s">
        <v>648</v>
      </c>
      <c r="M168">
        <v>97</v>
      </c>
      <c r="N168">
        <v>0</v>
      </c>
      <c r="O168">
        <v>26</v>
      </c>
      <c r="P168">
        <v>78.86</v>
      </c>
      <c r="Q168">
        <v>92</v>
      </c>
      <c r="R168">
        <v>31</v>
      </c>
      <c r="S168">
        <v>74.8</v>
      </c>
      <c r="U168" s="16">
        <v>161</v>
      </c>
      <c r="V168" t="s">
        <v>648</v>
      </c>
      <c r="W168">
        <v>0</v>
      </c>
      <c r="X168">
        <v>0</v>
      </c>
      <c r="Y168">
        <v>16320</v>
      </c>
      <c r="Z168">
        <v>0</v>
      </c>
      <c r="AA168">
        <v>0</v>
      </c>
      <c r="AB168">
        <v>16320</v>
      </c>
      <c r="AC168">
        <v>0</v>
      </c>
      <c r="AE168" s="16">
        <f t="shared" si="14"/>
        <v>0</v>
      </c>
      <c r="AF168" s="16">
        <f t="shared" si="15"/>
        <v>1</v>
      </c>
      <c r="AG168" s="16">
        <f t="shared" si="16"/>
        <v>0</v>
      </c>
      <c r="AH168" s="16">
        <f t="shared" si="17"/>
        <v>1</v>
      </c>
      <c r="AI168" s="16">
        <f t="shared" si="18"/>
        <v>0</v>
      </c>
      <c r="AJ168" s="16">
        <f t="shared" si="19"/>
        <v>1</v>
      </c>
      <c r="AK168" t="str">
        <f t="shared" si="20"/>
        <v>yes</v>
      </c>
    </row>
    <row r="169" spans="1:37" x14ac:dyDescent="0.2">
      <c r="A169" s="35"/>
      <c r="B169" s="8"/>
      <c r="C169" s="8"/>
      <c r="D169" s="8"/>
      <c r="E169" s="8"/>
      <c r="F169" s="8"/>
      <c r="G169" s="8"/>
      <c r="H169" s="8"/>
      <c r="I169" s="8"/>
      <c r="K169" s="16">
        <v>162</v>
      </c>
      <c r="L169" t="s">
        <v>649</v>
      </c>
      <c r="M169">
        <v>42</v>
      </c>
      <c r="N169">
        <v>0</v>
      </c>
      <c r="O169">
        <v>81</v>
      </c>
      <c r="P169">
        <v>34.15</v>
      </c>
      <c r="Q169">
        <v>37</v>
      </c>
      <c r="R169">
        <v>86</v>
      </c>
      <c r="S169">
        <v>30.08</v>
      </c>
      <c r="U169" s="16">
        <v>162</v>
      </c>
      <c r="V169" t="s">
        <v>649</v>
      </c>
      <c r="W169">
        <v>0</v>
      </c>
      <c r="X169">
        <v>0</v>
      </c>
      <c r="Y169">
        <v>16320</v>
      </c>
      <c r="Z169">
        <v>0</v>
      </c>
      <c r="AA169">
        <v>0</v>
      </c>
      <c r="AB169">
        <v>16320</v>
      </c>
      <c r="AC169">
        <v>0</v>
      </c>
      <c r="AE169" s="16">
        <f t="shared" si="14"/>
        <v>0</v>
      </c>
      <c r="AF169" s="16">
        <f t="shared" si="15"/>
        <v>1</v>
      </c>
      <c r="AG169" s="16">
        <f t="shared" si="16"/>
        <v>0</v>
      </c>
      <c r="AH169" s="16">
        <f t="shared" si="17"/>
        <v>1</v>
      </c>
      <c r="AI169" s="16">
        <f t="shared" si="18"/>
        <v>0</v>
      </c>
      <c r="AJ169" s="16">
        <f t="shared" si="19"/>
        <v>1</v>
      </c>
      <c r="AK169" t="str">
        <f t="shared" si="20"/>
        <v>yes</v>
      </c>
    </row>
    <row r="170" spans="1:37" x14ac:dyDescent="0.2">
      <c r="A170" s="35"/>
      <c r="B170" s="8"/>
      <c r="C170" s="8"/>
      <c r="D170" s="8"/>
      <c r="E170" s="8"/>
      <c r="F170" s="8"/>
      <c r="G170" s="8"/>
      <c r="H170" s="8"/>
      <c r="I170" s="8"/>
      <c r="K170" s="16">
        <v>163</v>
      </c>
      <c r="L170" t="s">
        <v>650</v>
      </c>
      <c r="M170">
        <v>93</v>
      </c>
      <c r="N170">
        <v>0</v>
      </c>
      <c r="O170">
        <v>30</v>
      </c>
      <c r="P170">
        <v>75.61</v>
      </c>
      <c r="Q170">
        <v>88</v>
      </c>
      <c r="R170">
        <v>35</v>
      </c>
      <c r="S170">
        <v>71.540000000000006</v>
      </c>
      <c r="U170" s="16">
        <v>163</v>
      </c>
      <c r="V170" t="s">
        <v>650</v>
      </c>
      <c r="W170">
        <v>0</v>
      </c>
      <c r="X170">
        <v>0</v>
      </c>
      <c r="Y170">
        <v>16320</v>
      </c>
      <c r="Z170">
        <v>0</v>
      </c>
      <c r="AA170">
        <v>0</v>
      </c>
      <c r="AB170">
        <v>16320</v>
      </c>
      <c r="AC170">
        <v>0</v>
      </c>
      <c r="AE170" s="16">
        <f t="shared" si="14"/>
        <v>0</v>
      </c>
      <c r="AF170" s="16">
        <f t="shared" si="15"/>
        <v>1</v>
      </c>
      <c r="AG170" s="16">
        <f t="shared" si="16"/>
        <v>0</v>
      </c>
      <c r="AH170" s="16">
        <f t="shared" si="17"/>
        <v>1</v>
      </c>
      <c r="AI170" s="16">
        <f t="shared" si="18"/>
        <v>0</v>
      </c>
      <c r="AJ170" s="16">
        <f t="shared" si="19"/>
        <v>1</v>
      </c>
      <c r="AK170" t="str">
        <f t="shared" si="20"/>
        <v>yes</v>
      </c>
    </row>
    <row r="171" spans="1:37" x14ac:dyDescent="0.2">
      <c r="A171" s="35"/>
      <c r="B171" s="8"/>
      <c r="C171" s="8"/>
      <c r="D171" s="8"/>
      <c r="E171" s="8"/>
      <c r="F171" s="8"/>
      <c r="G171" s="8"/>
      <c r="H171" s="8"/>
      <c r="I171" s="8"/>
      <c r="K171" s="16">
        <v>164</v>
      </c>
      <c r="L171" t="s">
        <v>651</v>
      </c>
      <c r="M171">
        <v>93</v>
      </c>
      <c r="N171">
        <v>0</v>
      </c>
      <c r="O171">
        <v>30</v>
      </c>
      <c r="P171">
        <v>75.61</v>
      </c>
      <c r="Q171">
        <v>88</v>
      </c>
      <c r="R171">
        <v>35</v>
      </c>
      <c r="S171">
        <v>71.540000000000006</v>
      </c>
      <c r="U171" s="16">
        <v>164</v>
      </c>
      <c r="V171" t="s">
        <v>651</v>
      </c>
      <c r="W171">
        <v>0</v>
      </c>
      <c r="X171">
        <v>0</v>
      </c>
      <c r="Y171">
        <v>16320</v>
      </c>
      <c r="Z171">
        <v>0</v>
      </c>
      <c r="AA171">
        <v>0</v>
      </c>
      <c r="AB171">
        <v>16320</v>
      </c>
      <c r="AC171">
        <v>0</v>
      </c>
      <c r="AE171" s="16">
        <f t="shared" si="14"/>
        <v>0</v>
      </c>
      <c r="AF171" s="16">
        <f t="shared" si="15"/>
        <v>1</v>
      </c>
      <c r="AG171" s="16">
        <f t="shared" si="16"/>
        <v>0</v>
      </c>
      <c r="AH171" s="16">
        <f t="shared" si="17"/>
        <v>1</v>
      </c>
      <c r="AI171" s="16">
        <f t="shared" si="18"/>
        <v>0</v>
      </c>
      <c r="AJ171" s="16">
        <f t="shared" si="19"/>
        <v>1</v>
      </c>
      <c r="AK171" t="str">
        <f t="shared" si="20"/>
        <v>yes</v>
      </c>
    </row>
    <row r="172" spans="1:37" x14ac:dyDescent="0.2">
      <c r="A172" s="35"/>
      <c r="B172" s="8"/>
      <c r="C172" s="8"/>
      <c r="D172" s="8"/>
      <c r="E172" s="8"/>
      <c r="F172" s="8"/>
      <c r="G172" s="8"/>
      <c r="H172" s="8"/>
      <c r="I172" s="8"/>
      <c r="K172" s="16">
        <v>165</v>
      </c>
      <c r="L172" t="s">
        <v>652</v>
      </c>
      <c r="M172">
        <v>94</v>
      </c>
      <c r="N172">
        <v>0</v>
      </c>
      <c r="O172">
        <v>29</v>
      </c>
      <c r="P172">
        <v>76.42</v>
      </c>
      <c r="Q172">
        <v>89</v>
      </c>
      <c r="R172">
        <v>34</v>
      </c>
      <c r="S172">
        <v>72.36</v>
      </c>
      <c r="U172" s="16">
        <v>165</v>
      </c>
      <c r="V172" t="s">
        <v>652</v>
      </c>
      <c r="W172">
        <v>0</v>
      </c>
      <c r="X172">
        <v>0</v>
      </c>
      <c r="Y172">
        <v>16320</v>
      </c>
      <c r="Z172">
        <v>0</v>
      </c>
      <c r="AA172">
        <v>0</v>
      </c>
      <c r="AB172">
        <v>16320</v>
      </c>
      <c r="AC172">
        <v>0</v>
      </c>
      <c r="AE172" s="16">
        <f t="shared" si="14"/>
        <v>0</v>
      </c>
      <c r="AF172" s="16">
        <f t="shared" si="15"/>
        <v>1</v>
      </c>
      <c r="AG172" s="16">
        <f t="shared" si="16"/>
        <v>0</v>
      </c>
      <c r="AH172" s="16">
        <f t="shared" si="17"/>
        <v>1</v>
      </c>
      <c r="AI172" s="16">
        <f t="shared" si="18"/>
        <v>0</v>
      </c>
      <c r="AJ172" s="16">
        <f t="shared" si="19"/>
        <v>1</v>
      </c>
      <c r="AK172" t="str">
        <f t="shared" si="20"/>
        <v>yes</v>
      </c>
    </row>
    <row r="173" spans="1:37" x14ac:dyDescent="0.2">
      <c r="A173" s="35"/>
      <c r="B173" s="8"/>
      <c r="C173" s="8"/>
      <c r="D173" s="8"/>
      <c r="E173" s="8"/>
      <c r="F173" s="8"/>
      <c r="G173" s="8"/>
      <c r="H173" s="8"/>
      <c r="I173" s="8"/>
      <c r="K173" s="16">
        <v>166</v>
      </c>
      <c r="L173" t="s">
        <v>653</v>
      </c>
      <c r="M173">
        <v>100</v>
      </c>
      <c r="N173">
        <v>0</v>
      </c>
      <c r="O173">
        <v>23</v>
      </c>
      <c r="P173">
        <v>81.3</v>
      </c>
      <c r="Q173">
        <v>95</v>
      </c>
      <c r="R173">
        <v>28</v>
      </c>
      <c r="S173">
        <v>77.239999999999995</v>
      </c>
      <c r="U173" s="16">
        <v>166</v>
      </c>
      <c r="V173" t="s">
        <v>653</v>
      </c>
      <c r="W173">
        <v>0</v>
      </c>
      <c r="X173">
        <v>0</v>
      </c>
      <c r="Y173">
        <v>16320</v>
      </c>
      <c r="Z173">
        <v>0</v>
      </c>
      <c r="AA173">
        <v>0</v>
      </c>
      <c r="AB173">
        <v>16320</v>
      </c>
      <c r="AC173">
        <v>0</v>
      </c>
      <c r="AE173" s="16">
        <f t="shared" si="14"/>
        <v>0</v>
      </c>
      <c r="AF173" s="16">
        <f t="shared" si="15"/>
        <v>1</v>
      </c>
      <c r="AG173" s="16">
        <f t="shared" si="16"/>
        <v>0</v>
      </c>
      <c r="AH173" s="16">
        <f t="shared" si="17"/>
        <v>1</v>
      </c>
      <c r="AI173" s="16">
        <f t="shared" si="18"/>
        <v>0</v>
      </c>
      <c r="AJ173" s="16">
        <f t="shared" si="19"/>
        <v>1</v>
      </c>
      <c r="AK173" t="str">
        <f t="shared" si="20"/>
        <v>yes</v>
      </c>
    </row>
    <row r="174" spans="1:37" x14ac:dyDescent="0.2">
      <c r="A174" s="35"/>
      <c r="B174" s="8"/>
      <c r="C174" s="8"/>
      <c r="D174" s="8"/>
      <c r="E174" s="8"/>
      <c r="F174" s="8"/>
      <c r="G174" s="8"/>
      <c r="H174" s="8"/>
      <c r="I174" s="8"/>
      <c r="K174" s="16">
        <v>167</v>
      </c>
      <c r="L174" t="s">
        <v>654</v>
      </c>
      <c r="M174">
        <v>94</v>
      </c>
      <c r="N174">
        <v>0</v>
      </c>
      <c r="O174">
        <v>29</v>
      </c>
      <c r="P174">
        <v>76.42</v>
      </c>
      <c r="Q174">
        <v>89</v>
      </c>
      <c r="R174">
        <v>34</v>
      </c>
      <c r="S174">
        <v>72.36</v>
      </c>
      <c r="U174" s="16">
        <v>167</v>
      </c>
      <c r="V174" t="s">
        <v>654</v>
      </c>
      <c r="W174">
        <v>0</v>
      </c>
      <c r="X174">
        <v>0</v>
      </c>
      <c r="Y174">
        <v>16320</v>
      </c>
      <c r="Z174">
        <v>0</v>
      </c>
      <c r="AA174">
        <v>0</v>
      </c>
      <c r="AB174">
        <v>16320</v>
      </c>
      <c r="AC174">
        <v>0</v>
      </c>
      <c r="AE174" s="16">
        <f t="shared" si="14"/>
        <v>0</v>
      </c>
      <c r="AF174" s="16">
        <f t="shared" si="15"/>
        <v>1</v>
      </c>
      <c r="AG174" s="16">
        <f t="shared" si="16"/>
        <v>0</v>
      </c>
      <c r="AH174" s="16">
        <f t="shared" si="17"/>
        <v>1</v>
      </c>
      <c r="AI174" s="16">
        <f t="shared" si="18"/>
        <v>0</v>
      </c>
      <c r="AJ174" s="16">
        <f t="shared" si="19"/>
        <v>1</v>
      </c>
      <c r="AK174" t="str">
        <f t="shared" si="20"/>
        <v>yes</v>
      </c>
    </row>
    <row r="175" spans="1:37" x14ac:dyDescent="0.2">
      <c r="A175" s="35"/>
      <c r="B175" s="8"/>
      <c r="C175" s="8"/>
      <c r="D175" s="8"/>
      <c r="E175" s="8"/>
      <c r="F175" s="8"/>
      <c r="G175" s="8"/>
      <c r="H175" s="8"/>
      <c r="I175" s="8"/>
      <c r="K175" s="16">
        <v>168</v>
      </c>
      <c r="L175" t="s">
        <v>655</v>
      </c>
      <c r="M175">
        <v>65</v>
      </c>
      <c r="N175">
        <v>0</v>
      </c>
      <c r="O175">
        <v>58</v>
      </c>
      <c r="P175">
        <v>52.85</v>
      </c>
      <c r="Q175">
        <v>60</v>
      </c>
      <c r="R175">
        <v>63</v>
      </c>
      <c r="S175">
        <v>48.78</v>
      </c>
      <c r="U175" s="16">
        <v>168</v>
      </c>
      <c r="V175" t="s">
        <v>655</v>
      </c>
      <c r="W175">
        <v>0</v>
      </c>
      <c r="X175">
        <v>0</v>
      </c>
      <c r="Y175">
        <v>16320</v>
      </c>
      <c r="Z175">
        <v>0</v>
      </c>
      <c r="AA175">
        <v>0</v>
      </c>
      <c r="AB175">
        <v>16320</v>
      </c>
      <c r="AC175">
        <v>0</v>
      </c>
      <c r="AE175" s="16">
        <f t="shared" si="14"/>
        <v>0</v>
      </c>
      <c r="AF175" s="16">
        <f t="shared" si="15"/>
        <v>1</v>
      </c>
      <c r="AG175" s="16">
        <f t="shared" si="16"/>
        <v>0</v>
      </c>
      <c r="AH175" s="16">
        <f t="shared" si="17"/>
        <v>1</v>
      </c>
      <c r="AI175" s="16">
        <f t="shared" si="18"/>
        <v>0</v>
      </c>
      <c r="AJ175" s="16">
        <f t="shared" si="19"/>
        <v>1</v>
      </c>
      <c r="AK175" t="str">
        <f t="shared" si="20"/>
        <v>yes</v>
      </c>
    </row>
    <row r="176" spans="1:37" x14ac:dyDescent="0.2">
      <c r="A176" s="35"/>
      <c r="B176" s="8"/>
      <c r="C176" s="8"/>
      <c r="D176" s="8"/>
      <c r="E176" s="8"/>
      <c r="F176" s="8"/>
      <c r="G176" s="8"/>
      <c r="H176" s="8"/>
      <c r="I176" s="8"/>
      <c r="K176" s="16">
        <v>169</v>
      </c>
      <c r="L176" t="s">
        <v>656</v>
      </c>
      <c r="M176">
        <v>90</v>
      </c>
      <c r="N176">
        <v>0</v>
      </c>
      <c r="O176">
        <v>33</v>
      </c>
      <c r="P176">
        <v>73.17</v>
      </c>
      <c r="Q176">
        <v>85</v>
      </c>
      <c r="R176">
        <v>38</v>
      </c>
      <c r="S176">
        <v>69.11</v>
      </c>
      <c r="U176" s="16">
        <v>169</v>
      </c>
      <c r="V176" t="s">
        <v>656</v>
      </c>
      <c r="W176">
        <v>0</v>
      </c>
      <c r="X176">
        <v>0</v>
      </c>
      <c r="Y176">
        <v>16320</v>
      </c>
      <c r="Z176">
        <v>0</v>
      </c>
      <c r="AA176">
        <v>0</v>
      </c>
      <c r="AB176">
        <v>16320</v>
      </c>
      <c r="AC176">
        <v>0</v>
      </c>
      <c r="AE176" s="16">
        <f t="shared" si="14"/>
        <v>0</v>
      </c>
      <c r="AF176" s="16">
        <f t="shared" si="15"/>
        <v>1</v>
      </c>
      <c r="AG176" s="16">
        <f t="shared" si="16"/>
        <v>0</v>
      </c>
      <c r="AH176" s="16">
        <f t="shared" si="17"/>
        <v>1</v>
      </c>
      <c r="AI176" s="16">
        <f t="shared" si="18"/>
        <v>0</v>
      </c>
      <c r="AJ176" s="16">
        <f t="shared" si="19"/>
        <v>1</v>
      </c>
      <c r="AK176" t="str">
        <f t="shared" si="20"/>
        <v>yes</v>
      </c>
    </row>
    <row r="177" spans="1:37" x14ac:dyDescent="0.2">
      <c r="A177" s="35"/>
      <c r="B177" s="8"/>
      <c r="C177" s="8"/>
      <c r="D177" s="8"/>
      <c r="E177" s="8"/>
      <c r="F177" s="8"/>
      <c r="G177" s="8"/>
      <c r="H177" s="8"/>
      <c r="I177" s="8"/>
      <c r="K177" s="16">
        <v>170</v>
      </c>
      <c r="L177" t="s">
        <v>657</v>
      </c>
      <c r="M177">
        <v>44</v>
      </c>
      <c r="N177">
        <v>0</v>
      </c>
      <c r="O177">
        <v>79</v>
      </c>
      <c r="P177">
        <v>35.770000000000003</v>
      </c>
      <c r="Q177">
        <v>39</v>
      </c>
      <c r="R177">
        <v>84</v>
      </c>
      <c r="S177">
        <v>31.71</v>
      </c>
      <c r="U177" s="16">
        <v>170</v>
      </c>
      <c r="V177" t="s">
        <v>657</v>
      </c>
      <c r="W177">
        <v>0</v>
      </c>
      <c r="X177">
        <v>0</v>
      </c>
      <c r="Y177">
        <v>16320</v>
      </c>
      <c r="Z177">
        <v>0</v>
      </c>
      <c r="AA177">
        <v>0</v>
      </c>
      <c r="AB177">
        <v>16320</v>
      </c>
      <c r="AC177">
        <v>0</v>
      </c>
      <c r="AE177" s="16">
        <f t="shared" si="14"/>
        <v>0</v>
      </c>
      <c r="AF177" s="16">
        <f t="shared" si="15"/>
        <v>1</v>
      </c>
      <c r="AG177" s="16">
        <f t="shared" si="16"/>
        <v>0</v>
      </c>
      <c r="AH177" s="16">
        <f t="shared" si="17"/>
        <v>1</v>
      </c>
      <c r="AI177" s="16">
        <f t="shared" si="18"/>
        <v>0</v>
      </c>
      <c r="AJ177" s="16">
        <f t="shared" si="19"/>
        <v>1</v>
      </c>
      <c r="AK177" t="str">
        <f t="shared" si="20"/>
        <v>yes</v>
      </c>
    </row>
    <row r="178" spans="1:37" x14ac:dyDescent="0.2">
      <c r="A178" s="35"/>
      <c r="B178" s="8"/>
      <c r="C178" s="8"/>
      <c r="D178" s="8"/>
      <c r="E178" s="8"/>
      <c r="F178" s="8"/>
      <c r="G178" s="8"/>
      <c r="H178" s="8"/>
      <c r="I178" s="8"/>
      <c r="K178" s="16">
        <v>171</v>
      </c>
      <c r="L178" t="s">
        <v>658</v>
      </c>
      <c r="M178">
        <v>90</v>
      </c>
      <c r="N178">
        <v>0</v>
      </c>
      <c r="O178">
        <v>33</v>
      </c>
      <c r="P178">
        <v>73.17</v>
      </c>
      <c r="Q178">
        <v>85</v>
      </c>
      <c r="R178">
        <v>38</v>
      </c>
      <c r="S178">
        <v>69.11</v>
      </c>
      <c r="U178" s="16">
        <v>171</v>
      </c>
      <c r="V178" t="s">
        <v>658</v>
      </c>
      <c r="W178">
        <v>0</v>
      </c>
      <c r="X178">
        <v>0</v>
      </c>
      <c r="Y178">
        <v>16320</v>
      </c>
      <c r="Z178">
        <v>0</v>
      </c>
      <c r="AA178">
        <v>0</v>
      </c>
      <c r="AB178">
        <v>16320</v>
      </c>
      <c r="AC178">
        <v>0</v>
      </c>
      <c r="AE178" s="16">
        <f t="shared" si="14"/>
        <v>0</v>
      </c>
      <c r="AF178" s="16">
        <f t="shared" si="15"/>
        <v>1</v>
      </c>
      <c r="AG178" s="16">
        <f t="shared" si="16"/>
        <v>0</v>
      </c>
      <c r="AH178" s="16">
        <f t="shared" si="17"/>
        <v>1</v>
      </c>
      <c r="AI178" s="16">
        <f t="shared" si="18"/>
        <v>0</v>
      </c>
      <c r="AJ178" s="16">
        <f t="shared" si="19"/>
        <v>1</v>
      </c>
      <c r="AK178" t="str">
        <f t="shared" si="20"/>
        <v>yes</v>
      </c>
    </row>
    <row r="179" spans="1:37" x14ac:dyDescent="0.2">
      <c r="A179" s="35"/>
      <c r="B179" s="8"/>
      <c r="C179" s="8"/>
      <c r="D179" s="8"/>
      <c r="E179" s="8"/>
      <c r="F179" s="8"/>
      <c r="G179" s="8"/>
      <c r="H179" s="8"/>
      <c r="I179" s="8"/>
      <c r="K179" s="16">
        <v>172</v>
      </c>
      <c r="L179" t="s">
        <v>659</v>
      </c>
      <c r="M179">
        <v>93</v>
      </c>
      <c r="N179">
        <v>0</v>
      </c>
      <c r="O179">
        <v>30</v>
      </c>
      <c r="P179">
        <v>75.61</v>
      </c>
      <c r="Q179">
        <v>88</v>
      </c>
      <c r="R179">
        <v>35</v>
      </c>
      <c r="S179">
        <v>71.540000000000006</v>
      </c>
      <c r="U179" s="16">
        <v>172</v>
      </c>
      <c r="V179" t="s">
        <v>659</v>
      </c>
      <c r="W179">
        <v>0</v>
      </c>
      <c r="X179">
        <v>0</v>
      </c>
      <c r="Y179">
        <v>16320</v>
      </c>
      <c r="Z179">
        <v>0</v>
      </c>
      <c r="AA179">
        <v>0</v>
      </c>
      <c r="AB179">
        <v>16320</v>
      </c>
      <c r="AC179">
        <v>0</v>
      </c>
      <c r="AE179" s="16">
        <f t="shared" si="14"/>
        <v>0</v>
      </c>
      <c r="AF179" s="16">
        <f t="shared" si="15"/>
        <v>1</v>
      </c>
      <c r="AG179" s="16">
        <f t="shared" si="16"/>
        <v>0</v>
      </c>
      <c r="AH179" s="16">
        <f t="shared" si="17"/>
        <v>1</v>
      </c>
      <c r="AI179" s="16">
        <f t="shared" si="18"/>
        <v>0</v>
      </c>
      <c r="AJ179" s="16">
        <f t="shared" si="19"/>
        <v>1</v>
      </c>
      <c r="AK179" t="str">
        <f t="shared" si="20"/>
        <v>yes</v>
      </c>
    </row>
    <row r="180" spans="1:37" x14ac:dyDescent="0.2">
      <c r="A180" s="35"/>
      <c r="B180" s="8"/>
      <c r="C180" s="8"/>
      <c r="D180" s="8"/>
      <c r="E180" s="8"/>
      <c r="F180" s="8"/>
      <c r="G180" s="8"/>
      <c r="H180" s="8"/>
      <c r="I180" s="8"/>
      <c r="K180" s="16">
        <v>173</v>
      </c>
      <c r="L180" t="s">
        <v>660</v>
      </c>
      <c r="M180">
        <v>64</v>
      </c>
      <c r="N180">
        <v>0</v>
      </c>
      <c r="O180">
        <v>59</v>
      </c>
      <c r="P180">
        <v>52.03</v>
      </c>
      <c r="Q180">
        <v>59</v>
      </c>
      <c r="R180">
        <v>64</v>
      </c>
      <c r="S180">
        <v>47.97</v>
      </c>
      <c r="U180" s="16">
        <v>173</v>
      </c>
      <c r="V180" t="s">
        <v>660</v>
      </c>
      <c r="W180">
        <v>0</v>
      </c>
      <c r="X180">
        <v>0</v>
      </c>
      <c r="Y180">
        <v>16320</v>
      </c>
      <c r="Z180">
        <v>0</v>
      </c>
      <c r="AA180">
        <v>0</v>
      </c>
      <c r="AB180">
        <v>16320</v>
      </c>
      <c r="AC180">
        <v>0</v>
      </c>
      <c r="AE180" s="16">
        <f t="shared" si="14"/>
        <v>0</v>
      </c>
      <c r="AF180" s="16">
        <f t="shared" si="15"/>
        <v>1</v>
      </c>
      <c r="AG180" s="16">
        <f t="shared" si="16"/>
        <v>0</v>
      </c>
      <c r="AH180" s="16">
        <f t="shared" si="17"/>
        <v>1</v>
      </c>
      <c r="AI180" s="16">
        <f t="shared" si="18"/>
        <v>0</v>
      </c>
      <c r="AJ180" s="16">
        <f t="shared" si="19"/>
        <v>1</v>
      </c>
      <c r="AK180" t="str">
        <f t="shared" si="20"/>
        <v>yes</v>
      </c>
    </row>
    <row r="181" spans="1:37" x14ac:dyDescent="0.2">
      <c r="A181" s="35"/>
      <c r="B181" s="8"/>
      <c r="C181" s="8"/>
      <c r="D181" s="8"/>
      <c r="E181" s="8"/>
      <c r="F181" s="8"/>
      <c r="G181" s="8"/>
      <c r="H181" s="8"/>
      <c r="I181" s="8"/>
      <c r="K181" s="16">
        <v>174</v>
      </c>
      <c r="L181" t="s">
        <v>661</v>
      </c>
      <c r="M181">
        <v>86</v>
      </c>
      <c r="N181">
        <v>0</v>
      </c>
      <c r="O181">
        <v>37</v>
      </c>
      <c r="P181">
        <v>69.92</v>
      </c>
      <c r="Q181">
        <v>81</v>
      </c>
      <c r="R181">
        <v>42</v>
      </c>
      <c r="S181">
        <v>65.849999999999994</v>
      </c>
      <c r="U181" s="16">
        <v>174</v>
      </c>
      <c r="V181" t="s">
        <v>661</v>
      </c>
      <c r="W181">
        <v>0</v>
      </c>
      <c r="X181">
        <v>0</v>
      </c>
      <c r="Y181">
        <v>16320</v>
      </c>
      <c r="Z181">
        <v>0</v>
      </c>
      <c r="AA181">
        <v>0</v>
      </c>
      <c r="AB181">
        <v>16320</v>
      </c>
      <c r="AC181">
        <v>0</v>
      </c>
      <c r="AE181" s="16">
        <f t="shared" si="14"/>
        <v>0</v>
      </c>
      <c r="AF181" s="16">
        <f t="shared" si="15"/>
        <v>1</v>
      </c>
      <c r="AG181" s="16">
        <f t="shared" si="16"/>
        <v>0</v>
      </c>
      <c r="AH181" s="16">
        <f t="shared" si="17"/>
        <v>1</v>
      </c>
      <c r="AI181" s="16">
        <f t="shared" si="18"/>
        <v>0</v>
      </c>
      <c r="AJ181" s="16">
        <f t="shared" si="19"/>
        <v>1</v>
      </c>
      <c r="AK181" t="str">
        <f t="shared" si="20"/>
        <v>yes</v>
      </c>
    </row>
    <row r="182" spans="1:37" x14ac:dyDescent="0.2">
      <c r="A182" s="35"/>
      <c r="B182" s="8"/>
      <c r="C182" s="8"/>
      <c r="D182" s="8"/>
      <c r="E182" s="8"/>
      <c r="F182" s="8"/>
      <c r="G182" s="8"/>
      <c r="H182" s="8"/>
      <c r="I182" s="8"/>
      <c r="K182" s="16">
        <v>175</v>
      </c>
      <c r="L182" t="s">
        <v>662</v>
      </c>
      <c r="M182">
        <v>95</v>
      </c>
      <c r="N182">
        <v>0</v>
      </c>
      <c r="O182">
        <v>28</v>
      </c>
      <c r="P182">
        <v>77.239999999999995</v>
      </c>
      <c r="Q182">
        <v>90</v>
      </c>
      <c r="R182">
        <v>33</v>
      </c>
      <c r="S182">
        <v>73.17</v>
      </c>
      <c r="U182" s="16">
        <v>175</v>
      </c>
      <c r="V182" t="s">
        <v>662</v>
      </c>
      <c r="W182">
        <v>0</v>
      </c>
      <c r="X182">
        <v>0</v>
      </c>
      <c r="Y182">
        <v>16320</v>
      </c>
      <c r="Z182">
        <v>0</v>
      </c>
      <c r="AA182">
        <v>0</v>
      </c>
      <c r="AB182">
        <v>16320</v>
      </c>
      <c r="AC182">
        <v>0</v>
      </c>
      <c r="AE182" s="16">
        <f t="shared" si="14"/>
        <v>0</v>
      </c>
      <c r="AF182" s="16">
        <f t="shared" si="15"/>
        <v>1</v>
      </c>
      <c r="AG182" s="16">
        <f t="shared" si="16"/>
        <v>0</v>
      </c>
      <c r="AH182" s="16">
        <f t="shared" si="17"/>
        <v>1</v>
      </c>
      <c r="AI182" s="16">
        <f t="shared" si="18"/>
        <v>0</v>
      </c>
      <c r="AJ182" s="16">
        <f t="shared" si="19"/>
        <v>1</v>
      </c>
      <c r="AK182" t="str">
        <f t="shared" si="20"/>
        <v>yes</v>
      </c>
    </row>
    <row r="183" spans="1:37" x14ac:dyDescent="0.2">
      <c r="A183" s="35"/>
      <c r="B183" s="8"/>
      <c r="C183" s="8"/>
      <c r="D183" s="8"/>
      <c r="E183" s="8"/>
      <c r="F183" s="8"/>
      <c r="G183" s="8"/>
      <c r="H183" s="8"/>
      <c r="I183" s="8"/>
      <c r="K183" s="16">
        <v>176</v>
      </c>
      <c r="L183" t="s">
        <v>663</v>
      </c>
      <c r="M183">
        <v>44</v>
      </c>
      <c r="N183">
        <v>0</v>
      </c>
      <c r="O183">
        <v>79</v>
      </c>
      <c r="P183">
        <v>35.770000000000003</v>
      </c>
      <c r="Q183">
        <v>39</v>
      </c>
      <c r="R183">
        <v>84</v>
      </c>
      <c r="S183">
        <v>31.71</v>
      </c>
      <c r="U183" s="16">
        <v>176</v>
      </c>
      <c r="V183" t="s">
        <v>663</v>
      </c>
      <c r="W183">
        <v>0</v>
      </c>
      <c r="X183">
        <v>0</v>
      </c>
      <c r="Y183">
        <v>16320</v>
      </c>
      <c r="Z183">
        <v>0</v>
      </c>
      <c r="AA183">
        <v>0</v>
      </c>
      <c r="AB183">
        <v>16320</v>
      </c>
      <c r="AC183">
        <v>0</v>
      </c>
      <c r="AE183" s="16">
        <f t="shared" si="14"/>
        <v>0</v>
      </c>
      <c r="AF183" s="16">
        <f t="shared" si="15"/>
        <v>1</v>
      </c>
      <c r="AG183" s="16">
        <f t="shared" si="16"/>
        <v>0</v>
      </c>
      <c r="AH183" s="16">
        <f t="shared" si="17"/>
        <v>1</v>
      </c>
      <c r="AI183" s="16">
        <f t="shared" si="18"/>
        <v>0</v>
      </c>
      <c r="AJ183" s="16">
        <f t="shared" si="19"/>
        <v>1</v>
      </c>
      <c r="AK183" t="str">
        <f t="shared" si="20"/>
        <v>yes</v>
      </c>
    </row>
    <row r="184" spans="1:37" x14ac:dyDescent="0.2">
      <c r="A184" s="35"/>
      <c r="B184" s="8"/>
      <c r="C184" s="8"/>
      <c r="D184" s="8"/>
      <c r="E184" s="8"/>
      <c r="F184" s="8"/>
      <c r="G184" s="8"/>
      <c r="H184" s="8"/>
      <c r="I184" s="8"/>
      <c r="K184" s="16">
        <v>177</v>
      </c>
      <c r="L184" t="s">
        <v>664</v>
      </c>
      <c r="M184">
        <v>88</v>
      </c>
      <c r="N184">
        <v>0</v>
      </c>
      <c r="O184">
        <v>35</v>
      </c>
      <c r="P184">
        <v>71.540000000000006</v>
      </c>
      <c r="Q184">
        <v>83</v>
      </c>
      <c r="R184">
        <v>40</v>
      </c>
      <c r="S184">
        <v>67.48</v>
      </c>
      <c r="U184" s="16">
        <v>177</v>
      </c>
      <c r="V184" t="s">
        <v>664</v>
      </c>
      <c r="W184">
        <v>0</v>
      </c>
      <c r="X184">
        <v>0</v>
      </c>
      <c r="Y184">
        <v>16320</v>
      </c>
      <c r="Z184">
        <v>0</v>
      </c>
      <c r="AA184">
        <v>0</v>
      </c>
      <c r="AB184">
        <v>16320</v>
      </c>
      <c r="AC184">
        <v>0</v>
      </c>
      <c r="AE184" s="16">
        <f t="shared" si="14"/>
        <v>0</v>
      </c>
      <c r="AF184" s="16">
        <f t="shared" si="15"/>
        <v>1</v>
      </c>
      <c r="AG184" s="16">
        <f t="shared" si="16"/>
        <v>0</v>
      </c>
      <c r="AH184" s="16">
        <f t="shared" si="17"/>
        <v>1</v>
      </c>
      <c r="AI184" s="16">
        <f t="shared" si="18"/>
        <v>0</v>
      </c>
      <c r="AJ184" s="16">
        <f t="shared" si="19"/>
        <v>1</v>
      </c>
      <c r="AK184" t="str">
        <f t="shared" si="20"/>
        <v>yes</v>
      </c>
    </row>
    <row r="185" spans="1:37" x14ac:dyDescent="0.2">
      <c r="A185" s="35"/>
      <c r="B185" s="8"/>
      <c r="C185" s="8"/>
      <c r="D185" s="8"/>
      <c r="E185" s="8"/>
      <c r="F185" s="8"/>
      <c r="G185" s="8"/>
      <c r="H185" s="8"/>
      <c r="I185" s="8"/>
      <c r="K185" s="16">
        <v>178</v>
      </c>
      <c r="L185" t="s">
        <v>665</v>
      </c>
      <c r="M185">
        <v>57</v>
      </c>
      <c r="N185">
        <v>0</v>
      </c>
      <c r="O185">
        <v>66</v>
      </c>
      <c r="P185">
        <v>46.34</v>
      </c>
      <c r="Q185">
        <v>52</v>
      </c>
      <c r="R185">
        <v>71</v>
      </c>
      <c r="S185">
        <v>42.28</v>
      </c>
      <c r="U185" s="16">
        <v>178</v>
      </c>
      <c r="V185" t="s">
        <v>665</v>
      </c>
      <c r="W185">
        <v>0</v>
      </c>
      <c r="X185">
        <v>0</v>
      </c>
      <c r="Y185">
        <v>16320</v>
      </c>
      <c r="Z185">
        <v>0</v>
      </c>
      <c r="AA185">
        <v>0</v>
      </c>
      <c r="AB185">
        <v>16320</v>
      </c>
      <c r="AC185">
        <v>0</v>
      </c>
      <c r="AE185" s="16">
        <f t="shared" si="14"/>
        <v>0</v>
      </c>
      <c r="AF185" s="16">
        <f t="shared" si="15"/>
        <v>1</v>
      </c>
      <c r="AG185" s="16">
        <f t="shared" si="16"/>
        <v>0</v>
      </c>
      <c r="AH185" s="16">
        <f t="shared" si="17"/>
        <v>1</v>
      </c>
      <c r="AI185" s="16">
        <f t="shared" si="18"/>
        <v>0</v>
      </c>
      <c r="AJ185" s="16">
        <f t="shared" si="19"/>
        <v>1</v>
      </c>
      <c r="AK185" t="str">
        <f t="shared" si="20"/>
        <v>yes</v>
      </c>
    </row>
    <row r="186" spans="1:37" x14ac:dyDescent="0.2">
      <c r="A186" s="35"/>
      <c r="B186" s="8"/>
      <c r="C186" s="8"/>
      <c r="D186" s="8"/>
      <c r="E186" s="8"/>
      <c r="F186" s="8"/>
      <c r="G186" s="8"/>
      <c r="H186" s="8"/>
      <c r="I186" s="8"/>
      <c r="K186" s="16">
        <v>179</v>
      </c>
      <c r="L186" t="s">
        <v>666</v>
      </c>
      <c r="M186">
        <v>100</v>
      </c>
      <c r="N186">
        <v>0</v>
      </c>
      <c r="O186">
        <v>23</v>
      </c>
      <c r="P186">
        <v>81.3</v>
      </c>
      <c r="Q186">
        <v>95</v>
      </c>
      <c r="R186">
        <v>28</v>
      </c>
      <c r="S186">
        <v>77.239999999999995</v>
      </c>
      <c r="U186" s="16">
        <v>179</v>
      </c>
      <c r="V186" t="s">
        <v>666</v>
      </c>
      <c r="W186">
        <v>0</v>
      </c>
      <c r="X186">
        <v>0</v>
      </c>
      <c r="Y186">
        <v>16320</v>
      </c>
      <c r="Z186">
        <v>0</v>
      </c>
      <c r="AA186">
        <v>0</v>
      </c>
      <c r="AB186">
        <v>16320</v>
      </c>
      <c r="AC186">
        <v>0</v>
      </c>
      <c r="AE186" s="16">
        <f t="shared" si="14"/>
        <v>0</v>
      </c>
      <c r="AF186" s="16">
        <f t="shared" si="15"/>
        <v>1</v>
      </c>
      <c r="AG186" s="16">
        <f t="shared" si="16"/>
        <v>0</v>
      </c>
      <c r="AH186" s="16">
        <f t="shared" si="17"/>
        <v>1</v>
      </c>
      <c r="AI186" s="16">
        <f t="shared" si="18"/>
        <v>0</v>
      </c>
      <c r="AJ186" s="16">
        <f t="shared" si="19"/>
        <v>1</v>
      </c>
      <c r="AK186" t="str">
        <f t="shared" si="20"/>
        <v>yes</v>
      </c>
    </row>
    <row r="187" spans="1:37" x14ac:dyDescent="0.2">
      <c r="A187" s="35"/>
      <c r="B187" s="8"/>
      <c r="C187" s="8"/>
      <c r="D187" s="8"/>
      <c r="E187" s="8"/>
      <c r="F187" s="8"/>
      <c r="G187" s="8"/>
      <c r="H187" s="8"/>
      <c r="I187" s="8"/>
      <c r="K187" s="16">
        <v>180</v>
      </c>
      <c r="L187" t="s">
        <v>667</v>
      </c>
      <c r="M187">
        <v>101</v>
      </c>
      <c r="N187">
        <v>0</v>
      </c>
      <c r="O187">
        <v>22</v>
      </c>
      <c r="P187">
        <v>82.11</v>
      </c>
      <c r="Q187">
        <v>96</v>
      </c>
      <c r="R187">
        <v>27</v>
      </c>
      <c r="S187">
        <v>78.05</v>
      </c>
      <c r="U187" s="16">
        <v>180</v>
      </c>
      <c r="V187" t="s">
        <v>667</v>
      </c>
      <c r="W187">
        <v>0</v>
      </c>
      <c r="X187">
        <v>0</v>
      </c>
      <c r="Y187">
        <v>16320</v>
      </c>
      <c r="Z187">
        <v>0</v>
      </c>
      <c r="AA187">
        <v>0</v>
      </c>
      <c r="AB187">
        <v>16320</v>
      </c>
      <c r="AC187">
        <v>0</v>
      </c>
      <c r="AE187" s="16">
        <f t="shared" si="14"/>
        <v>0</v>
      </c>
      <c r="AF187" s="16">
        <f t="shared" si="15"/>
        <v>1</v>
      </c>
      <c r="AG187" s="16">
        <f t="shared" si="16"/>
        <v>0</v>
      </c>
      <c r="AH187" s="16">
        <f t="shared" si="17"/>
        <v>1</v>
      </c>
      <c r="AI187" s="16">
        <f t="shared" si="18"/>
        <v>0</v>
      </c>
      <c r="AJ187" s="16">
        <f t="shared" si="19"/>
        <v>1</v>
      </c>
      <c r="AK187" t="str">
        <f t="shared" si="20"/>
        <v>yes</v>
      </c>
    </row>
    <row r="188" spans="1:37" x14ac:dyDescent="0.2">
      <c r="A188" s="35"/>
      <c r="B188" s="8"/>
      <c r="C188" s="8"/>
      <c r="D188" s="8"/>
      <c r="E188" s="8"/>
      <c r="F188" s="8"/>
      <c r="G188" s="8"/>
      <c r="H188" s="8"/>
      <c r="I188" s="8"/>
      <c r="K188" s="16">
        <v>181</v>
      </c>
      <c r="L188" t="s">
        <v>668</v>
      </c>
      <c r="M188">
        <v>62</v>
      </c>
      <c r="N188">
        <v>0</v>
      </c>
      <c r="O188">
        <v>61</v>
      </c>
      <c r="P188">
        <v>50.41</v>
      </c>
      <c r="Q188">
        <v>57</v>
      </c>
      <c r="R188">
        <v>66</v>
      </c>
      <c r="S188">
        <v>46.34</v>
      </c>
      <c r="U188" s="16">
        <v>181</v>
      </c>
      <c r="V188" t="s">
        <v>668</v>
      </c>
      <c r="W188">
        <v>0</v>
      </c>
      <c r="X188">
        <v>0</v>
      </c>
      <c r="Y188">
        <v>16320</v>
      </c>
      <c r="Z188">
        <v>0</v>
      </c>
      <c r="AA188">
        <v>0</v>
      </c>
      <c r="AB188">
        <v>16320</v>
      </c>
      <c r="AC188">
        <v>0</v>
      </c>
      <c r="AE188" s="16">
        <f t="shared" si="14"/>
        <v>0</v>
      </c>
      <c r="AF188" s="16">
        <f t="shared" si="15"/>
        <v>1</v>
      </c>
      <c r="AG188" s="16">
        <f t="shared" si="16"/>
        <v>0</v>
      </c>
      <c r="AH188" s="16">
        <f t="shared" si="17"/>
        <v>1</v>
      </c>
      <c r="AI188" s="16">
        <f t="shared" si="18"/>
        <v>0</v>
      </c>
      <c r="AJ188" s="16">
        <f t="shared" si="19"/>
        <v>1</v>
      </c>
      <c r="AK188" t="str">
        <f t="shared" si="20"/>
        <v>yes</v>
      </c>
    </row>
    <row r="189" spans="1:37" x14ac:dyDescent="0.2">
      <c r="A189" s="35"/>
      <c r="B189" s="8"/>
      <c r="C189" s="8"/>
      <c r="D189" s="8"/>
      <c r="E189" s="8"/>
      <c r="F189" s="8"/>
      <c r="G189" s="8"/>
      <c r="H189" s="8"/>
      <c r="I189" s="8"/>
      <c r="K189" s="16">
        <v>182</v>
      </c>
      <c r="L189" t="s">
        <v>669</v>
      </c>
      <c r="M189">
        <v>97</v>
      </c>
      <c r="N189">
        <v>0</v>
      </c>
      <c r="O189">
        <v>26</v>
      </c>
      <c r="P189">
        <v>78.86</v>
      </c>
      <c r="Q189">
        <v>92</v>
      </c>
      <c r="R189">
        <v>31</v>
      </c>
      <c r="S189">
        <v>74.8</v>
      </c>
      <c r="U189" s="16">
        <v>182</v>
      </c>
      <c r="V189" t="s">
        <v>669</v>
      </c>
      <c r="W189">
        <v>0</v>
      </c>
      <c r="X189">
        <v>0</v>
      </c>
      <c r="Y189">
        <v>16320</v>
      </c>
      <c r="Z189">
        <v>0</v>
      </c>
      <c r="AA189">
        <v>0</v>
      </c>
      <c r="AB189">
        <v>16320</v>
      </c>
      <c r="AC189">
        <v>0</v>
      </c>
      <c r="AE189" s="16">
        <f t="shared" si="14"/>
        <v>0</v>
      </c>
      <c r="AF189" s="16">
        <f t="shared" si="15"/>
        <v>1</v>
      </c>
      <c r="AG189" s="16">
        <f t="shared" si="16"/>
        <v>0</v>
      </c>
      <c r="AH189" s="16">
        <f t="shared" si="17"/>
        <v>1</v>
      </c>
      <c r="AI189" s="16">
        <f t="shared" si="18"/>
        <v>0</v>
      </c>
      <c r="AJ189" s="16">
        <f t="shared" si="19"/>
        <v>1</v>
      </c>
      <c r="AK189" t="str">
        <f t="shared" si="20"/>
        <v>yes</v>
      </c>
    </row>
    <row r="190" spans="1:37" x14ac:dyDescent="0.2">
      <c r="A190" s="35"/>
      <c r="B190" s="8"/>
      <c r="C190" s="8"/>
      <c r="D190" s="8"/>
      <c r="E190" s="8"/>
      <c r="F190" s="8"/>
      <c r="G190" s="8"/>
      <c r="H190" s="8"/>
      <c r="I190" s="8"/>
      <c r="K190" s="16">
        <v>183</v>
      </c>
      <c r="L190" t="s">
        <v>670</v>
      </c>
      <c r="M190">
        <v>98</v>
      </c>
      <c r="N190">
        <v>0</v>
      </c>
      <c r="O190">
        <v>25</v>
      </c>
      <c r="P190">
        <v>79.67</v>
      </c>
      <c r="Q190">
        <v>93</v>
      </c>
      <c r="R190">
        <v>30</v>
      </c>
      <c r="S190">
        <v>75.61</v>
      </c>
      <c r="U190" s="16">
        <v>183</v>
      </c>
      <c r="V190" t="s">
        <v>670</v>
      </c>
      <c r="W190">
        <v>0</v>
      </c>
      <c r="X190">
        <v>0</v>
      </c>
      <c r="Y190">
        <v>16320</v>
      </c>
      <c r="Z190">
        <v>0</v>
      </c>
      <c r="AA190">
        <v>0</v>
      </c>
      <c r="AB190">
        <v>16320</v>
      </c>
      <c r="AC190">
        <v>0</v>
      </c>
      <c r="AE190" s="16">
        <f t="shared" si="14"/>
        <v>0</v>
      </c>
      <c r="AF190" s="16">
        <f t="shared" si="15"/>
        <v>1</v>
      </c>
      <c r="AG190" s="16">
        <f t="shared" si="16"/>
        <v>0</v>
      </c>
      <c r="AH190" s="16">
        <f t="shared" si="17"/>
        <v>1</v>
      </c>
      <c r="AI190" s="16">
        <f t="shared" si="18"/>
        <v>0</v>
      </c>
      <c r="AJ190" s="16">
        <f t="shared" si="19"/>
        <v>1</v>
      </c>
      <c r="AK190" t="str">
        <f t="shared" si="20"/>
        <v>yes</v>
      </c>
    </row>
    <row r="191" spans="1:37" x14ac:dyDescent="0.2">
      <c r="A191" s="35"/>
      <c r="B191" s="8"/>
      <c r="C191" s="8"/>
      <c r="D191" s="8"/>
      <c r="E191" s="8"/>
      <c r="F191" s="8"/>
      <c r="G191" s="8"/>
      <c r="H191" s="8"/>
      <c r="I191" s="8"/>
      <c r="K191" s="16">
        <v>184</v>
      </c>
      <c r="L191" t="s">
        <v>671</v>
      </c>
      <c r="M191">
        <v>92</v>
      </c>
      <c r="N191">
        <v>0</v>
      </c>
      <c r="O191">
        <v>31</v>
      </c>
      <c r="P191">
        <v>74.8</v>
      </c>
      <c r="Q191">
        <v>87</v>
      </c>
      <c r="R191">
        <v>36</v>
      </c>
      <c r="S191">
        <v>70.73</v>
      </c>
      <c r="U191" s="16">
        <v>184</v>
      </c>
      <c r="V191" t="s">
        <v>671</v>
      </c>
      <c r="W191">
        <v>0</v>
      </c>
      <c r="X191">
        <v>0</v>
      </c>
      <c r="Y191">
        <v>16320</v>
      </c>
      <c r="Z191">
        <v>0</v>
      </c>
      <c r="AA191">
        <v>0</v>
      </c>
      <c r="AB191">
        <v>16320</v>
      </c>
      <c r="AC191">
        <v>0</v>
      </c>
      <c r="AE191" s="16">
        <f t="shared" si="14"/>
        <v>0</v>
      </c>
      <c r="AF191" s="16">
        <f t="shared" si="15"/>
        <v>1</v>
      </c>
      <c r="AG191" s="16">
        <f t="shared" si="16"/>
        <v>0</v>
      </c>
      <c r="AH191" s="16">
        <f t="shared" si="17"/>
        <v>1</v>
      </c>
      <c r="AI191" s="16">
        <f t="shared" si="18"/>
        <v>0</v>
      </c>
      <c r="AJ191" s="16">
        <f t="shared" si="19"/>
        <v>1</v>
      </c>
      <c r="AK191" t="str">
        <f t="shared" si="20"/>
        <v>yes</v>
      </c>
    </row>
    <row r="192" spans="1:37" x14ac:dyDescent="0.2">
      <c r="A192" s="35"/>
      <c r="B192" s="8"/>
      <c r="C192" s="8"/>
      <c r="D192" s="8"/>
      <c r="E192" s="8"/>
      <c r="F192" s="8"/>
      <c r="G192" s="8"/>
      <c r="H192" s="8"/>
      <c r="I192" s="8"/>
      <c r="K192" s="16">
        <v>185</v>
      </c>
      <c r="L192" t="s">
        <v>672</v>
      </c>
      <c r="M192">
        <v>63</v>
      </c>
      <c r="N192">
        <v>0</v>
      </c>
      <c r="O192">
        <v>60</v>
      </c>
      <c r="P192">
        <v>51.22</v>
      </c>
      <c r="Q192">
        <v>58</v>
      </c>
      <c r="R192">
        <v>65</v>
      </c>
      <c r="S192">
        <v>47.15</v>
      </c>
      <c r="U192" s="16">
        <v>185</v>
      </c>
      <c r="V192" t="s">
        <v>672</v>
      </c>
      <c r="W192">
        <v>0</v>
      </c>
      <c r="X192">
        <v>0</v>
      </c>
      <c r="Y192">
        <v>16320</v>
      </c>
      <c r="Z192">
        <v>0</v>
      </c>
      <c r="AA192">
        <v>0</v>
      </c>
      <c r="AB192">
        <v>16320</v>
      </c>
      <c r="AC192">
        <v>0</v>
      </c>
      <c r="AE192" s="16">
        <f t="shared" si="14"/>
        <v>0</v>
      </c>
      <c r="AF192" s="16">
        <f t="shared" si="15"/>
        <v>1</v>
      </c>
      <c r="AG192" s="16">
        <f t="shared" si="16"/>
        <v>0</v>
      </c>
      <c r="AH192" s="16">
        <f t="shared" si="17"/>
        <v>1</v>
      </c>
      <c r="AI192" s="16">
        <f t="shared" si="18"/>
        <v>0</v>
      </c>
      <c r="AJ192" s="16">
        <f t="shared" si="19"/>
        <v>1</v>
      </c>
      <c r="AK192" t="str">
        <f t="shared" si="20"/>
        <v>yes</v>
      </c>
    </row>
    <row r="193" spans="1:37" x14ac:dyDescent="0.2">
      <c r="A193" s="35"/>
      <c r="B193" s="8"/>
      <c r="C193" s="8"/>
      <c r="D193" s="8"/>
      <c r="E193" s="8"/>
      <c r="F193" s="8"/>
      <c r="G193" s="8"/>
      <c r="H193" s="8"/>
      <c r="I193" s="8"/>
      <c r="K193" s="16">
        <v>186</v>
      </c>
      <c r="L193" t="s">
        <v>673</v>
      </c>
      <c r="M193">
        <v>78</v>
      </c>
      <c r="N193">
        <v>0</v>
      </c>
      <c r="O193">
        <v>45</v>
      </c>
      <c r="P193">
        <v>63.41</v>
      </c>
      <c r="Q193">
        <v>73</v>
      </c>
      <c r="R193">
        <v>50</v>
      </c>
      <c r="S193">
        <v>59.35</v>
      </c>
      <c r="U193" s="16">
        <v>186</v>
      </c>
      <c r="V193" t="s">
        <v>673</v>
      </c>
      <c r="W193">
        <v>0</v>
      </c>
      <c r="X193">
        <v>0</v>
      </c>
      <c r="Y193">
        <v>16320</v>
      </c>
      <c r="Z193">
        <v>0</v>
      </c>
      <c r="AA193">
        <v>0</v>
      </c>
      <c r="AB193">
        <v>16320</v>
      </c>
      <c r="AC193">
        <v>0</v>
      </c>
      <c r="AE193" s="16">
        <f t="shared" si="14"/>
        <v>0</v>
      </c>
      <c r="AF193" s="16">
        <f t="shared" si="15"/>
        <v>1</v>
      </c>
      <c r="AG193" s="16">
        <f t="shared" si="16"/>
        <v>0</v>
      </c>
      <c r="AH193" s="16">
        <f t="shared" si="17"/>
        <v>1</v>
      </c>
      <c r="AI193" s="16">
        <f t="shared" si="18"/>
        <v>0</v>
      </c>
      <c r="AJ193" s="16">
        <f t="shared" si="19"/>
        <v>1</v>
      </c>
      <c r="AK193" t="str">
        <f t="shared" si="20"/>
        <v>yes</v>
      </c>
    </row>
    <row r="194" spans="1:37" x14ac:dyDescent="0.2">
      <c r="A194" s="35"/>
      <c r="B194" s="8"/>
      <c r="C194" s="8"/>
      <c r="D194" s="8"/>
      <c r="E194" s="8"/>
      <c r="F194" s="8"/>
      <c r="G194" s="8"/>
      <c r="H194" s="8"/>
      <c r="I194" s="8"/>
      <c r="K194" s="16">
        <v>187</v>
      </c>
      <c r="L194" t="s">
        <v>674</v>
      </c>
      <c r="M194">
        <v>97</v>
      </c>
      <c r="N194">
        <v>0</v>
      </c>
      <c r="O194">
        <v>26</v>
      </c>
      <c r="P194">
        <v>78.86</v>
      </c>
      <c r="Q194">
        <v>92</v>
      </c>
      <c r="R194">
        <v>31</v>
      </c>
      <c r="S194">
        <v>74.8</v>
      </c>
      <c r="U194" s="16">
        <v>187</v>
      </c>
      <c r="V194" t="s">
        <v>674</v>
      </c>
      <c r="W194">
        <v>0</v>
      </c>
      <c r="X194">
        <v>0</v>
      </c>
      <c r="Y194">
        <v>16320</v>
      </c>
      <c r="Z194">
        <v>0</v>
      </c>
      <c r="AA194">
        <v>0</v>
      </c>
      <c r="AB194">
        <v>16320</v>
      </c>
      <c r="AC194">
        <v>0</v>
      </c>
      <c r="AE194" s="16">
        <f t="shared" si="14"/>
        <v>0</v>
      </c>
      <c r="AF194" s="16">
        <f t="shared" si="15"/>
        <v>1</v>
      </c>
      <c r="AG194" s="16">
        <f t="shared" si="16"/>
        <v>0</v>
      </c>
      <c r="AH194" s="16">
        <f t="shared" si="17"/>
        <v>1</v>
      </c>
      <c r="AI194" s="16">
        <f t="shared" si="18"/>
        <v>0</v>
      </c>
      <c r="AJ194" s="16">
        <f t="shared" si="19"/>
        <v>1</v>
      </c>
      <c r="AK194" t="str">
        <f t="shared" si="20"/>
        <v>yes</v>
      </c>
    </row>
    <row r="195" spans="1:37" x14ac:dyDescent="0.2">
      <c r="A195" s="35"/>
      <c r="B195" s="8"/>
      <c r="C195" s="8"/>
      <c r="D195" s="8"/>
      <c r="E195" s="8"/>
      <c r="F195" s="8"/>
      <c r="G195" s="8"/>
      <c r="H195" s="8"/>
      <c r="I195" s="8"/>
      <c r="K195" s="16">
        <v>188</v>
      </c>
      <c r="L195" t="s">
        <v>675</v>
      </c>
      <c r="M195">
        <v>99</v>
      </c>
      <c r="N195">
        <v>0</v>
      </c>
      <c r="O195">
        <v>24</v>
      </c>
      <c r="P195">
        <v>80.489999999999995</v>
      </c>
      <c r="Q195">
        <v>94</v>
      </c>
      <c r="R195">
        <v>29</v>
      </c>
      <c r="S195">
        <v>76.42</v>
      </c>
      <c r="U195" s="16">
        <v>188</v>
      </c>
      <c r="V195" t="s">
        <v>675</v>
      </c>
      <c r="W195">
        <v>0</v>
      </c>
      <c r="X195">
        <v>0</v>
      </c>
      <c r="Y195">
        <v>16320</v>
      </c>
      <c r="Z195">
        <v>0</v>
      </c>
      <c r="AA195">
        <v>0</v>
      </c>
      <c r="AB195">
        <v>16320</v>
      </c>
      <c r="AC195">
        <v>0</v>
      </c>
      <c r="AE195" s="16">
        <f t="shared" si="14"/>
        <v>0</v>
      </c>
      <c r="AF195" s="16">
        <f t="shared" si="15"/>
        <v>1</v>
      </c>
      <c r="AG195" s="16">
        <f t="shared" si="16"/>
        <v>0</v>
      </c>
      <c r="AH195" s="16">
        <f t="shared" si="17"/>
        <v>1</v>
      </c>
      <c r="AI195" s="16">
        <f t="shared" si="18"/>
        <v>0</v>
      </c>
      <c r="AJ195" s="16">
        <f t="shared" si="19"/>
        <v>1</v>
      </c>
      <c r="AK195" t="str">
        <f t="shared" si="20"/>
        <v>yes</v>
      </c>
    </row>
    <row r="196" spans="1:37" x14ac:dyDescent="0.2">
      <c r="A196" s="35"/>
      <c r="B196" s="8"/>
      <c r="C196" s="8"/>
      <c r="D196" s="8"/>
      <c r="E196" s="8"/>
      <c r="F196" s="8"/>
      <c r="G196" s="8"/>
      <c r="H196" s="8"/>
      <c r="I196" s="8"/>
      <c r="K196" s="16">
        <v>189</v>
      </c>
      <c r="L196" t="s">
        <v>676</v>
      </c>
      <c r="M196">
        <v>96</v>
      </c>
      <c r="N196">
        <v>0</v>
      </c>
      <c r="O196">
        <v>27</v>
      </c>
      <c r="P196">
        <v>78.05</v>
      </c>
      <c r="Q196">
        <v>91</v>
      </c>
      <c r="R196">
        <v>32</v>
      </c>
      <c r="S196">
        <v>73.98</v>
      </c>
      <c r="U196" s="16">
        <v>189</v>
      </c>
      <c r="V196" t="s">
        <v>676</v>
      </c>
      <c r="W196">
        <v>0</v>
      </c>
      <c r="X196">
        <v>0</v>
      </c>
      <c r="Y196">
        <v>16320</v>
      </c>
      <c r="Z196">
        <v>0</v>
      </c>
      <c r="AA196">
        <v>0</v>
      </c>
      <c r="AB196">
        <v>16320</v>
      </c>
      <c r="AC196">
        <v>0</v>
      </c>
      <c r="AE196" s="16">
        <f t="shared" si="14"/>
        <v>0</v>
      </c>
      <c r="AF196" s="16">
        <f t="shared" si="15"/>
        <v>1</v>
      </c>
      <c r="AG196" s="16">
        <f t="shared" si="16"/>
        <v>0</v>
      </c>
      <c r="AH196" s="16">
        <f t="shared" si="17"/>
        <v>1</v>
      </c>
      <c r="AI196" s="16">
        <f t="shared" si="18"/>
        <v>0</v>
      </c>
      <c r="AJ196" s="16">
        <f t="shared" si="19"/>
        <v>1</v>
      </c>
      <c r="AK196" t="str">
        <f t="shared" si="20"/>
        <v>yes</v>
      </c>
    </row>
    <row r="197" spans="1:37" x14ac:dyDescent="0.2">
      <c r="A197" s="35"/>
      <c r="B197" s="8"/>
      <c r="C197" s="8"/>
      <c r="D197" s="8"/>
      <c r="E197" s="8"/>
      <c r="F197" s="8"/>
      <c r="G197" s="8"/>
      <c r="H197" s="8"/>
      <c r="I197" s="8"/>
      <c r="K197" s="16">
        <v>190</v>
      </c>
      <c r="L197" t="s">
        <v>677</v>
      </c>
      <c r="M197">
        <v>78</v>
      </c>
      <c r="N197">
        <v>0</v>
      </c>
      <c r="O197">
        <v>45</v>
      </c>
      <c r="P197">
        <v>63.41</v>
      </c>
      <c r="Q197">
        <v>73</v>
      </c>
      <c r="R197">
        <v>50</v>
      </c>
      <c r="S197">
        <v>59.35</v>
      </c>
      <c r="U197" s="16">
        <v>190</v>
      </c>
      <c r="V197" t="s">
        <v>677</v>
      </c>
      <c r="W197">
        <v>0</v>
      </c>
      <c r="X197">
        <v>0</v>
      </c>
      <c r="Y197">
        <v>16320</v>
      </c>
      <c r="Z197">
        <v>0</v>
      </c>
      <c r="AA197">
        <v>0</v>
      </c>
      <c r="AB197">
        <v>16320</v>
      </c>
      <c r="AC197">
        <v>0</v>
      </c>
      <c r="AE197" s="16">
        <f t="shared" si="14"/>
        <v>0</v>
      </c>
      <c r="AF197" s="16">
        <f t="shared" si="15"/>
        <v>1</v>
      </c>
      <c r="AG197" s="16">
        <f t="shared" si="16"/>
        <v>0</v>
      </c>
      <c r="AH197" s="16">
        <f t="shared" si="17"/>
        <v>1</v>
      </c>
      <c r="AI197" s="16">
        <f t="shared" si="18"/>
        <v>0</v>
      </c>
      <c r="AJ197" s="16">
        <f t="shared" si="19"/>
        <v>1</v>
      </c>
      <c r="AK197" t="str">
        <f t="shared" si="20"/>
        <v>yes</v>
      </c>
    </row>
    <row r="198" spans="1:37" x14ac:dyDescent="0.2">
      <c r="A198" s="35"/>
      <c r="B198" s="8"/>
      <c r="C198" s="8"/>
      <c r="D198" s="8"/>
      <c r="E198" s="8"/>
      <c r="F198" s="8"/>
      <c r="G198" s="8"/>
      <c r="H198" s="8"/>
      <c r="I198" s="8"/>
      <c r="K198" s="16">
        <v>191</v>
      </c>
      <c r="L198" t="s">
        <v>678</v>
      </c>
      <c r="M198">
        <v>94</v>
      </c>
      <c r="N198">
        <v>0</v>
      </c>
      <c r="O198">
        <v>29</v>
      </c>
      <c r="P198">
        <v>76.42</v>
      </c>
      <c r="Q198">
        <v>89</v>
      </c>
      <c r="R198">
        <v>34</v>
      </c>
      <c r="S198">
        <v>72.36</v>
      </c>
      <c r="U198" s="16">
        <v>191</v>
      </c>
      <c r="V198" t="s">
        <v>678</v>
      </c>
      <c r="W198">
        <v>0</v>
      </c>
      <c r="X198">
        <v>0</v>
      </c>
      <c r="Y198">
        <v>16320</v>
      </c>
      <c r="Z198">
        <v>0</v>
      </c>
      <c r="AA198">
        <v>0</v>
      </c>
      <c r="AB198">
        <v>16320</v>
      </c>
      <c r="AC198">
        <v>0</v>
      </c>
      <c r="AE198" s="16">
        <f t="shared" si="14"/>
        <v>0</v>
      </c>
      <c r="AF198" s="16">
        <f t="shared" si="15"/>
        <v>1</v>
      </c>
      <c r="AG198" s="16">
        <f t="shared" si="16"/>
        <v>0</v>
      </c>
      <c r="AH198" s="16">
        <f t="shared" si="17"/>
        <v>1</v>
      </c>
      <c r="AI198" s="16">
        <f t="shared" si="18"/>
        <v>0</v>
      </c>
      <c r="AJ198" s="16">
        <f t="shared" si="19"/>
        <v>1</v>
      </c>
      <c r="AK198" t="str">
        <f t="shared" si="20"/>
        <v>yes</v>
      </c>
    </row>
    <row r="199" spans="1:37" x14ac:dyDescent="0.2">
      <c r="A199" s="35"/>
      <c r="B199" s="8"/>
      <c r="C199" s="8"/>
      <c r="D199" s="8"/>
      <c r="E199" s="8"/>
      <c r="F199" s="8"/>
      <c r="G199" s="8"/>
      <c r="H199" s="8"/>
      <c r="I199" s="8"/>
      <c r="K199" s="16">
        <v>192</v>
      </c>
      <c r="L199" t="s">
        <v>679</v>
      </c>
      <c r="M199">
        <v>93</v>
      </c>
      <c r="N199">
        <v>0</v>
      </c>
      <c r="O199">
        <v>30</v>
      </c>
      <c r="P199">
        <v>75.61</v>
      </c>
      <c r="Q199">
        <v>88</v>
      </c>
      <c r="R199">
        <v>35</v>
      </c>
      <c r="S199">
        <v>71.540000000000006</v>
      </c>
      <c r="U199" s="16">
        <v>192</v>
      </c>
      <c r="V199" t="s">
        <v>679</v>
      </c>
      <c r="W199">
        <v>0</v>
      </c>
      <c r="X199">
        <v>0</v>
      </c>
      <c r="Y199">
        <v>16320</v>
      </c>
      <c r="Z199">
        <v>0</v>
      </c>
      <c r="AA199">
        <v>0</v>
      </c>
      <c r="AB199">
        <v>16320</v>
      </c>
      <c r="AC199">
        <v>0</v>
      </c>
      <c r="AE199" s="16">
        <f t="shared" si="14"/>
        <v>0</v>
      </c>
      <c r="AF199" s="16">
        <f t="shared" si="15"/>
        <v>1</v>
      </c>
      <c r="AG199" s="16">
        <f t="shared" si="16"/>
        <v>0</v>
      </c>
      <c r="AH199" s="16">
        <f t="shared" si="17"/>
        <v>1</v>
      </c>
      <c r="AI199" s="16">
        <f t="shared" si="18"/>
        <v>0</v>
      </c>
      <c r="AJ199" s="16">
        <f t="shared" si="19"/>
        <v>1</v>
      </c>
      <c r="AK199" t="str">
        <f t="shared" si="20"/>
        <v>yes</v>
      </c>
    </row>
    <row r="200" spans="1:37" x14ac:dyDescent="0.2">
      <c r="A200" s="35"/>
      <c r="B200" s="8"/>
      <c r="C200" s="8"/>
      <c r="D200" s="8"/>
      <c r="E200" s="8"/>
      <c r="F200" s="8"/>
      <c r="G200" s="8"/>
      <c r="H200" s="8"/>
      <c r="I200" s="8"/>
      <c r="K200" s="16">
        <v>193</v>
      </c>
      <c r="L200" t="s">
        <v>680</v>
      </c>
      <c r="M200">
        <v>96</v>
      </c>
      <c r="N200">
        <v>0</v>
      </c>
      <c r="O200">
        <v>27</v>
      </c>
      <c r="P200">
        <v>78.05</v>
      </c>
      <c r="Q200">
        <v>91</v>
      </c>
      <c r="R200">
        <v>32</v>
      </c>
      <c r="S200">
        <v>73.98</v>
      </c>
      <c r="U200" s="16">
        <v>193</v>
      </c>
      <c r="V200" t="s">
        <v>680</v>
      </c>
      <c r="W200">
        <v>0</v>
      </c>
      <c r="X200">
        <v>0</v>
      </c>
      <c r="Y200">
        <v>16320</v>
      </c>
      <c r="Z200">
        <v>0</v>
      </c>
      <c r="AA200">
        <v>0</v>
      </c>
      <c r="AB200">
        <v>16320</v>
      </c>
      <c r="AC200">
        <v>0</v>
      </c>
      <c r="AE200" s="16">
        <f t="shared" si="14"/>
        <v>0</v>
      </c>
      <c r="AF200" s="16">
        <f t="shared" si="15"/>
        <v>1</v>
      </c>
      <c r="AG200" s="16">
        <f t="shared" si="16"/>
        <v>0</v>
      </c>
      <c r="AH200" s="16">
        <f t="shared" si="17"/>
        <v>1</v>
      </c>
      <c r="AI200" s="16">
        <f t="shared" si="18"/>
        <v>0</v>
      </c>
      <c r="AJ200" s="16">
        <f t="shared" si="19"/>
        <v>1</v>
      </c>
      <c r="AK200" t="str">
        <f t="shared" si="20"/>
        <v>yes</v>
      </c>
    </row>
    <row r="201" spans="1:37" x14ac:dyDescent="0.2">
      <c r="A201" s="35"/>
      <c r="B201" s="8"/>
      <c r="C201" s="8"/>
      <c r="D201" s="8"/>
      <c r="E201" s="8"/>
      <c r="F201" s="8"/>
      <c r="G201" s="8"/>
      <c r="H201" s="8"/>
      <c r="I201" s="8"/>
      <c r="K201" s="16">
        <v>194</v>
      </c>
      <c r="L201" t="s">
        <v>681</v>
      </c>
      <c r="M201">
        <v>92</v>
      </c>
      <c r="N201">
        <v>0</v>
      </c>
      <c r="O201">
        <v>31</v>
      </c>
      <c r="P201">
        <v>74.8</v>
      </c>
      <c r="Q201">
        <v>87</v>
      </c>
      <c r="R201">
        <v>36</v>
      </c>
      <c r="S201">
        <v>70.73</v>
      </c>
      <c r="U201" s="16">
        <v>194</v>
      </c>
      <c r="V201" t="s">
        <v>681</v>
      </c>
      <c r="W201">
        <v>0</v>
      </c>
      <c r="X201">
        <v>0</v>
      </c>
      <c r="Y201">
        <v>16320</v>
      </c>
      <c r="Z201">
        <v>0</v>
      </c>
      <c r="AA201">
        <v>0</v>
      </c>
      <c r="AB201">
        <v>16320</v>
      </c>
      <c r="AC201">
        <v>0</v>
      </c>
      <c r="AE201" s="16">
        <f t="shared" ref="AE201:AE244" si="21">IF(G201=0,0,1)</f>
        <v>0</v>
      </c>
      <c r="AF201" s="16">
        <f t="shared" ref="AF201:AF244" si="22">IF(Q201=0,0,1)</f>
        <v>1</v>
      </c>
      <c r="AG201" s="16">
        <f t="shared" ref="AG201:AG244" si="23">IF(AA201=0,0,1)</f>
        <v>0</v>
      </c>
      <c r="AH201" s="16">
        <f t="shared" ref="AH201:AH244" si="24">SUM(AE201:AG201)</f>
        <v>1</v>
      </c>
      <c r="AI201" s="16">
        <f t="shared" ref="AI201:AI244" si="25">IF(AH201=0,1,0)</f>
        <v>0</v>
      </c>
      <c r="AJ201" s="16">
        <f t="shared" ref="AJ201:AJ244" si="26">IF(AH201=0,0,1)</f>
        <v>1</v>
      </c>
      <c r="AK201" t="str">
        <f t="shared" ref="AK201:AK244" si="27">IF(AJ201=1,"yes","no")</f>
        <v>yes</v>
      </c>
    </row>
    <row r="202" spans="1:37" x14ac:dyDescent="0.2">
      <c r="A202" s="35"/>
      <c r="B202" s="8"/>
      <c r="C202" s="8"/>
      <c r="D202" s="8"/>
      <c r="E202" s="8"/>
      <c r="F202" s="8"/>
      <c r="G202" s="8"/>
      <c r="H202" s="8"/>
      <c r="I202" s="8"/>
      <c r="K202" s="16">
        <v>195</v>
      </c>
      <c r="L202" t="s">
        <v>682</v>
      </c>
      <c r="M202">
        <v>65</v>
      </c>
      <c r="N202">
        <v>0</v>
      </c>
      <c r="O202">
        <v>58</v>
      </c>
      <c r="P202">
        <v>52.85</v>
      </c>
      <c r="Q202">
        <v>60</v>
      </c>
      <c r="R202">
        <v>63</v>
      </c>
      <c r="S202">
        <v>48.78</v>
      </c>
      <c r="U202" s="16">
        <v>195</v>
      </c>
      <c r="V202" t="s">
        <v>682</v>
      </c>
      <c r="W202">
        <v>0</v>
      </c>
      <c r="X202">
        <v>0</v>
      </c>
      <c r="Y202">
        <v>16320</v>
      </c>
      <c r="Z202">
        <v>0</v>
      </c>
      <c r="AA202">
        <v>0</v>
      </c>
      <c r="AB202">
        <v>16320</v>
      </c>
      <c r="AC202">
        <v>0</v>
      </c>
      <c r="AE202" s="16">
        <f t="shared" si="21"/>
        <v>0</v>
      </c>
      <c r="AF202" s="16">
        <f t="shared" si="22"/>
        <v>1</v>
      </c>
      <c r="AG202" s="16">
        <f t="shared" si="23"/>
        <v>0</v>
      </c>
      <c r="AH202" s="16">
        <f t="shared" si="24"/>
        <v>1</v>
      </c>
      <c r="AI202" s="16">
        <f t="shared" si="25"/>
        <v>0</v>
      </c>
      <c r="AJ202" s="16">
        <f t="shared" si="26"/>
        <v>1</v>
      </c>
      <c r="AK202" t="str">
        <f t="shared" si="27"/>
        <v>yes</v>
      </c>
    </row>
    <row r="203" spans="1:37" x14ac:dyDescent="0.2">
      <c r="A203" s="35"/>
      <c r="B203" s="8"/>
      <c r="C203" s="8"/>
      <c r="D203" s="8"/>
      <c r="E203" s="8"/>
      <c r="F203" s="8"/>
      <c r="G203" s="8"/>
      <c r="H203" s="8"/>
      <c r="I203" s="8"/>
      <c r="K203" s="16">
        <v>196</v>
      </c>
      <c r="L203" t="s">
        <v>683</v>
      </c>
      <c r="M203">
        <v>74</v>
      </c>
      <c r="N203">
        <v>0</v>
      </c>
      <c r="O203">
        <v>49</v>
      </c>
      <c r="P203">
        <v>60.16</v>
      </c>
      <c r="Q203">
        <v>69</v>
      </c>
      <c r="R203">
        <v>54</v>
      </c>
      <c r="S203">
        <v>56.1</v>
      </c>
      <c r="U203" s="16">
        <v>196</v>
      </c>
      <c r="V203" t="s">
        <v>683</v>
      </c>
      <c r="W203">
        <v>0</v>
      </c>
      <c r="X203">
        <v>0</v>
      </c>
      <c r="Y203">
        <v>16320</v>
      </c>
      <c r="Z203">
        <v>0</v>
      </c>
      <c r="AA203">
        <v>0</v>
      </c>
      <c r="AB203">
        <v>16320</v>
      </c>
      <c r="AC203">
        <v>0</v>
      </c>
      <c r="AE203" s="16">
        <f t="shared" si="21"/>
        <v>0</v>
      </c>
      <c r="AF203" s="16">
        <f t="shared" si="22"/>
        <v>1</v>
      </c>
      <c r="AG203" s="16">
        <f t="shared" si="23"/>
        <v>0</v>
      </c>
      <c r="AH203" s="16">
        <f t="shared" si="24"/>
        <v>1</v>
      </c>
      <c r="AI203" s="16">
        <f t="shared" si="25"/>
        <v>0</v>
      </c>
      <c r="AJ203" s="16">
        <f t="shared" si="26"/>
        <v>1</v>
      </c>
      <c r="AK203" t="str">
        <f t="shared" si="27"/>
        <v>yes</v>
      </c>
    </row>
    <row r="204" spans="1:37" x14ac:dyDescent="0.2">
      <c r="A204" s="35"/>
      <c r="B204" s="8"/>
      <c r="C204" s="8"/>
      <c r="D204" s="8"/>
      <c r="E204" s="8"/>
      <c r="F204" s="8"/>
      <c r="G204" s="8"/>
      <c r="H204" s="8"/>
      <c r="I204" s="8"/>
      <c r="K204" s="16">
        <v>197</v>
      </c>
      <c r="L204" t="s">
        <v>684</v>
      </c>
      <c r="M204">
        <v>101</v>
      </c>
      <c r="N204">
        <v>0</v>
      </c>
      <c r="O204">
        <v>22</v>
      </c>
      <c r="P204">
        <v>82.11</v>
      </c>
      <c r="Q204">
        <v>96</v>
      </c>
      <c r="R204">
        <v>27</v>
      </c>
      <c r="S204">
        <v>78.05</v>
      </c>
      <c r="U204" s="16">
        <v>197</v>
      </c>
      <c r="V204" t="s">
        <v>684</v>
      </c>
      <c r="W204">
        <v>0</v>
      </c>
      <c r="X204">
        <v>0</v>
      </c>
      <c r="Y204">
        <v>16320</v>
      </c>
      <c r="Z204">
        <v>0</v>
      </c>
      <c r="AA204">
        <v>0</v>
      </c>
      <c r="AB204">
        <v>16320</v>
      </c>
      <c r="AC204">
        <v>0</v>
      </c>
      <c r="AE204" s="16">
        <f t="shared" si="21"/>
        <v>0</v>
      </c>
      <c r="AF204" s="16">
        <f t="shared" si="22"/>
        <v>1</v>
      </c>
      <c r="AG204" s="16">
        <f t="shared" si="23"/>
        <v>0</v>
      </c>
      <c r="AH204" s="16">
        <f t="shared" si="24"/>
        <v>1</v>
      </c>
      <c r="AI204" s="16">
        <f t="shared" si="25"/>
        <v>0</v>
      </c>
      <c r="AJ204" s="16">
        <f t="shared" si="26"/>
        <v>1</v>
      </c>
      <c r="AK204" t="str">
        <f t="shared" si="27"/>
        <v>yes</v>
      </c>
    </row>
    <row r="205" spans="1:37" x14ac:dyDescent="0.2">
      <c r="A205" s="35"/>
      <c r="B205" s="8"/>
      <c r="C205" s="8"/>
      <c r="D205" s="8"/>
      <c r="E205" s="8"/>
      <c r="F205" s="8"/>
      <c r="G205" s="8"/>
      <c r="H205" s="8"/>
      <c r="I205" s="8"/>
      <c r="K205" s="16">
        <v>198</v>
      </c>
      <c r="L205" t="s">
        <v>685</v>
      </c>
      <c r="M205">
        <v>89</v>
      </c>
      <c r="N205">
        <v>0</v>
      </c>
      <c r="O205">
        <v>34</v>
      </c>
      <c r="P205">
        <v>72.36</v>
      </c>
      <c r="Q205">
        <v>84</v>
      </c>
      <c r="R205">
        <v>39</v>
      </c>
      <c r="S205">
        <v>68.290000000000006</v>
      </c>
      <c r="U205" s="16">
        <v>198</v>
      </c>
      <c r="V205" t="s">
        <v>685</v>
      </c>
      <c r="W205">
        <v>0</v>
      </c>
      <c r="X205">
        <v>0</v>
      </c>
      <c r="Y205">
        <v>16320</v>
      </c>
      <c r="Z205">
        <v>0</v>
      </c>
      <c r="AA205">
        <v>0</v>
      </c>
      <c r="AB205">
        <v>16320</v>
      </c>
      <c r="AC205">
        <v>0</v>
      </c>
      <c r="AE205" s="16">
        <f t="shared" si="21"/>
        <v>0</v>
      </c>
      <c r="AF205" s="16">
        <f t="shared" si="22"/>
        <v>1</v>
      </c>
      <c r="AG205" s="16">
        <f t="shared" si="23"/>
        <v>0</v>
      </c>
      <c r="AH205" s="16">
        <f t="shared" si="24"/>
        <v>1</v>
      </c>
      <c r="AI205" s="16">
        <f t="shared" si="25"/>
        <v>0</v>
      </c>
      <c r="AJ205" s="16">
        <f t="shared" si="26"/>
        <v>1</v>
      </c>
      <c r="AK205" t="str">
        <f t="shared" si="27"/>
        <v>yes</v>
      </c>
    </row>
    <row r="206" spans="1:37" x14ac:dyDescent="0.2">
      <c r="A206" s="35"/>
      <c r="B206" s="8"/>
      <c r="C206" s="8"/>
      <c r="D206" s="8"/>
      <c r="E206" s="8"/>
      <c r="F206" s="8"/>
      <c r="G206" s="8"/>
      <c r="H206" s="8"/>
      <c r="I206" s="8"/>
      <c r="K206" s="16">
        <v>199</v>
      </c>
      <c r="L206" t="s">
        <v>686</v>
      </c>
      <c r="M206">
        <v>57</v>
      </c>
      <c r="N206">
        <v>0</v>
      </c>
      <c r="O206">
        <v>66</v>
      </c>
      <c r="P206">
        <v>46.34</v>
      </c>
      <c r="Q206">
        <v>52</v>
      </c>
      <c r="R206">
        <v>71</v>
      </c>
      <c r="S206">
        <v>42.28</v>
      </c>
      <c r="U206" s="16">
        <v>199</v>
      </c>
      <c r="V206" t="s">
        <v>686</v>
      </c>
      <c r="W206">
        <v>0</v>
      </c>
      <c r="X206">
        <v>0</v>
      </c>
      <c r="Y206">
        <v>16320</v>
      </c>
      <c r="Z206">
        <v>0</v>
      </c>
      <c r="AA206">
        <v>0</v>
      </c>
      <c r="AB206">
        <v>16320</v>
      </c>
      <c r="AC206">
        <v>0</v>
      </c>
      <c r="AE206" s="16">
        <f t="shared" si="21"/>
        <v>0</v>
      </c>
      <c r="AF206" s="16">
        <f t="shared" si="22"/>
        <v>1</v>
      </c>
      <c r="AG206" s="16">
        <f t="shared" si="23"/>
        <v>0</v>
      </c>
      <c r="AH206" s="16">
        <f t="shared" si="24"/>
        <v>1</v>
      </c>
      <c r="AI206" s="16">
        <f t="shared" si="25"/>
        <v>0</v>
      </c>
      <c r="AJ206" s="16">
        <f t="shared" si="26"/>
        <v>1</v>
      </c>
      <c r="AK206" t="str">
        <f t="shared" si="27"/>
        <v>yes</v>
      </c>
    </row>
    <row r="207" spans="1:37" x14ac:dyDescent="0.2">
      <c r="A207" s="35"/>
      <c r="B207" s="8"/>
      <c r="C207" s="8"/>
      <c r="D207" s="8"/>
      <c r="E207" s="8"/>
      <c r="F207" s="8"/>
      <c r="G207" s="8"/>
      <c r="H207" s="8"/>
      <c r="I207" s="8"/>
      <c r="K207" s="16">
        <v>200</v>
      </c>
      <c r="L207" t="s">
        <v>687</v>
      </c>
      <c r="M207">
        <v>86</v>
      </c>
      <c r="N207">
        <v>0</v>
      </c>
      <c r="O207">
        <v>37</v>
      </c>
      <c r="P207">
        <v>69.92</v>
      </c>
      <c r="Q207">
        <v>81</v>
      </c>
      <c r="R207">
        <v>42</v>
      </c>
      <c r="S207">
        <v>65.849999999999994</v>
      </c>
      <c r="U207" s="16">
        <v>200</v>
      </c>
      <c r="V207" t="s">
        <v>687</v>
      </c>
      <c r="W207">
        <v>0</v>
      </c>
      <c r="X207">
        <v>0</v>
      </c>
      <c r="Y207">
        <v>16320</v>
      </c>
      <c r="Z207">
        <v>0</v>
      </c>
      <c r="AA207">
        <v>0</v>
      </c>
      <c r="AB207">
        <v>16320</v>
      </c>
      <c r="AC207">
        <v>0</v>
      </c>
      <c r="AE207" s="16">
        <f t="shared" si="21"/>
        <v>0</v>
      </c>
      <c r="AF207" s="16">
        <f t="shared" si="22"/>
        <v>1</v>
      </c>
      <c r="AG207" s="16">
        <f t="shared" si="23"/>
        <v>0</v>
      </c>
      <c r="AH207" s="16">
        <f t="shared" si="24"/>
        <v>1</v>
      </c>
      <c r="AI207" s="16">
        <f t="shared" si="25"/>
        <v>0</v>
      </c>
      <c r="AJ207" s="16">
        <f t="shared" si="26"/>
        <v>1</v>
      </c>
      <c r="AK207" t="str">
        <f t="shared" si="27"/>
        <v>yes</v>
      </c>
    </row>
    <row r="208" spans="1:37" x14ac:dyDescent="0.2">
      <c r="A208" s="35"/>
      <c r="B208" s="8"/>
      <c r="C208" s="8"/>
      <c r="D208" s="8"/>
      <c r="E208" s="8"/>
      <c r="F208" s="8"/>
      <c r="G208" s="8"/>
      <c r="H208" s="8"/>
      <c r="I208" s="8"/>
      <c r="K208" s="16">
        <v>201</v>
      </c>
      <c r="L208" t="s">
        <v>688</v>
      </c>
      <c r="M208">
        <v>98</v>
      </c>
      <c r="N208">
        <v>0</v>
      </c>
      <c r="O208">
        <v>25</v>
      </c>
      <c r="P208">
        <v>79.67</v>
      </c>
      <c r="Q208">
        <v>93</v>
      </c>
      <c r="R208">
        <v>30</v>
      </c>
      <c r="S208">
        <v>75.61</v>
      </c>
      <c r="U208" s="16">
        <v>201</v>
      </c>
      <c r="V208" t="s">
        <v>688</v>
      </c>
      <c r="W208">
        <v>0</v>
      </c>
      <c r="X208">
        <v>0</v>
      </c>
      <c r="Y208">
        <v>16320</v>
      </c>
      <c r="Z208">
        <v>0</v>
      </c>
      <c r="AA208">
        <v>0</v>
      </c>
      <c r="AB208">
        <v>16320</v>
      </c>
      <c r="AC208">
        <v>0</v>
      </c>
      <c r="AE208" s="16">
        <f t="shared" si="21"/>
        <v>0</v>
      </c>
      <c r="AF208" s="16">
        <f t="shared" si="22"/>
        <v>1</v>
      </c>
      <c r="AG208" s="16">
        <f t="shared" si="23"/>
        <v>0</v>
      </c>
      <c r="AH208" s="16">
        <f t="shared" si="24"/>
        <v>1</v>
      </c>
      <c r="AI208" s="16">
        <f t="shared" si="25"/>
        <v>0</v>
      </c>
      <c r="AJ208" s="16">
        <f t="shared" si="26"/>
        <v>1</v>
      </c>
      <c r="AK208" t="str">
        <f t="shared" si="27"/>
        <v>yes</v>
      </c>
    </row>
    <row r="209" spans="1:37" x14ac:dyDescent="0.2">
      <c r="A209" s="35"/>
      <c r="B209" s="8"/>
      <c r="C209" s="8"/>
      <c r="D209" s="8"/>
      <c r="E209" s="8"/>
      <c r="F209" s="8"/>
      <c r="G209" s="8"/>
      <c r="H209" s="8"/>
      <c r="I209" s="8"/>
      <c r="K209" s="16">
        <v>202</v>
      </c>
      <c r="L209" t="s">
        <v>689</v>
      </c>
      <c r="M209">
        <v>68</v>
      </c>
      <c r="N209">
        <v>0</v>
      </c>
      <c r="O209">
        <v>55</v>
      </c>
      <c r="P209">
        <v>55.28</v>
      </c>
      <c r="Q209">
        <v>63</v>
      </c>
      <c r="R209">
        <v>60</v>
      </c>
      <c r="S209">
        <v>51.22</v>
      </c>
      <c r="U209" s="16">
        <v>202</v>
      </c>
      <c r="V209" t="s">
        <v>689</v>
      </c>
      <c r="W209">
        <v>0</v>
      </c>
      <c r="X209">
        <v>0</v>
      </c>
      <c r="Y209">
        <v>16320</v>
      </c>
      <c r="Z209">
        <v>0</v>
      </c>
      <c r="AA209">
        <v>0</v>
      </c>
      <c r="AB209">
        <v>16320</v>
      </c>
      <c r="AC209">
        <v>0</v>
      </c>
      <c r="AE209" s="16">
        <f t="shared" si="21"/>
        <v>0</v>
      </c>
      <c r="AF209" s="16">
        <f t="shared" si="22"/>
        <v>1</v>
      </c>
      <c r="AG209" s="16">
        <f t="shared" si="23"/>
        <v>0</v>
      </c>
      <c r="AH209" s="16">
        <f t="shared" si="24"/>
        <v>1</v>
      </c>
      <c r="AI209" s="16">
        <f t="shared" si="25"/>
        <v>0</v>
      </c>
      <c r="AJ209" s="16">
        <f t="shared" si="26"/>
        <v>1</v>
      </c>
      <c r="AK209" t="str">
        <f t="shared" si="27"/>
        <v>yes</v>
      </c>
    </row>
    <row r="210" spans="1:37" x14ac:dyDescent="0.2">
      <c r="A210" s="35"/>
      <c r="B210" s="8"/>
      <c r="C210" s="8"/>
      <c r="D210" s="8"/>
      <c r="E210" s="8"/>
      <c r="F210" s="8"/>
      <c r="G210" s="8"/>
      <c r="H210" s="8"/>
      <c r="I210" s="8"/>
      <c r="K210" s="16">
        <v>203</v>
      </c>
      <c r="L210" t="s">
        <v>690</v>
      </c>
      <c r="M210">
        <v>52</v>
      </c>
      <c r="N210">
        <v>0</v>
      </c>
      <c r="O210">
        <v>71</v>
      </c>
      <c r="P210">
        <v>42.28</v>
      </c>
      <c r="Q210">
        <v>47</v>
      </c>
      <c r="R210">
        <v>76</v>
      </c>
      <c r="S210">
        <v>38.21</v>
      </c>
      <c r="U210" s="16">
        <v>203</v>
      </c>
      <c r="V210" t="s">
        <v>690</v>
      </c>
      <c r="W210">
        <v>0</v>
      </c>
      <c r="X210">
        <v>0</v>
      </c>
      <c r="Y210">
        <v>16320</v>
      </c>
      <c r="Z210">
        <v>0</v>
      </c>
      <c r="AA210">
        <v>0</v>
      </c>
      <c r="AB210">
        <v>16320</v>
      </c>
      <c r="AC210">
        <v>0</v>
      </c>
      <c r="AE210" s="16">
        <f t="shared" si="21"/>
        <v>0</v>
      </c>
      <c r="AF210" s="16">
        <f t="shared" si="22"/>
        <v>1</v>
      </c>
      <c r="AG210" s="16">
        <f t="shared" si="23"/>
        <v>0</v>
      </c>
      <c r="AH210" s="16">
        <f t="shared" si="24"/>
        <v>1</v>
      </c>
      <c r="AI210" s="16">
        <f t="shared" si="25"/>
        <v>0</v>
      </c>
      <c r="AJ210" s="16">
        <f t="shared" si="26"/>
        <v>1</v>
      </c>
      <c r="AK210" t="str">
        <f t="shared" si="27"/>
        <v>yes</v>
      </c>
    </row>
    <row r="211" spans="1:37" x14ac:dyDescent="0.2">
      <c r="A211" s="35"/>
      <c r="B211" s="8"/>
      <c r="C211" s="8"/>
      <c r="D211" s="8"/>
      <c r="E211" s="8"/>
      <c r="F211" s="8"/>
      <c r="G211" s="8"/>
      <c r="H211" s="8"/>
      <c r="I211" s="8"/>
      <c r="K211" s="16">
        <v>204</v>
      </c>
      <c r="L211" t="s">
        <v>691</v>
      </c>
      <c r="M211">
        <v>94</v>
      </c>
      <c r="N211">
        <v>0</v>
      </c>
      <c r="O211">
        <v>29</v>
      </c>
      <c r="P211">
        <v>76.42</v>
      </c>
      <c r="Q211">
        <v>89</v>
      </c>
      <c r="R211">
        <v>34</v>
      </c>
      <c r="S211">
        <v>72.36</v>
      </c>
      <c r="U211" s="16">
        <v>204</v>
      </c>
      <c r="V211" t="s">
        <v>691</v>
      </c>
      <c r="W211">
        <v>0</v>
      </c>
      <c r="X211">
        <v>0</v>
      </c>
      <c r="Y211">
        <v>16320</v>
      </c>
      <c r="Z211">
        <v>0</v>
      </c>
      <c r="AA211">
        <v>0</v>
      </c>
      <c r="AB211">
        <v>16320</v>
      </c>
      <c r="AC211">
        <v>0</v>
      </c>
      <c r="AE211" s="16">
        <f t="shared" si="21"/>
        <v>0</v>
      </c>
      <c r="AF211" s="16">
        <f t="shared" si="22"/>
        <v>1</v>
      </c>
      <c r="AG211" s="16">
        <f t="shared" si="23"/>
        <v>0</v>
      </c>
      <c r="AH211" s="16">
        <f t="shared" si="24"/>
        <v>1</v>
      </c>
      <c r="AI211" s="16">
        <f t="shared" si="25"/>
        <v>0</v>
      </c>
      <c r="AJ211" s="16">
        <f t="shared" si="26"/>
        <v>1</v>
      </c>
      <c r="AK211" t="str">
        <f t="shared" si="27"/>
        <v>yes</v>
      </c>
    </row>
    <row r="212" spans="1:37" x14ac:dyDescent="0.2">
      <c r="A212" s="35"/>
      <c r="B212" s="8"/>
      <c r="C212" s="8"/>
      <c r="D212" s="8"/>
      <c r="E212" s="8"/>
      <c r="F212" s="8"/>
      <c r="G212" s="8"/>
      <c r="H212" s="8"/>
      <c r="I212" s="8"/>
      <c r="K212" s="16">
        <v>205</v>
      </c>
      <c r="L212" t="s">
        <v>692</v>
      </c>
      <c r="M212">
        <v>94</v>
      </c>
      <c r="N212">
        <v>0</v>
      </c>
      <c r="O212">
        <v>29</v>
      </c>
      <c r="P212">
        <v>76.42</v>
      </c>
      <c r="Q212">
        <v>89</v>
      </c>
      <c r="R212">
        <v>34</v>
      </c>
      <c r="S212">
        <v>72.36</v>
      </c>
      <c r="U212" s="16">
        <v>205</v>
      </c>
      <c r="V212" t="s">
        <v>692</v>
      </c>
      <c r="W212">
        <v>0</v>
      </c>
      <c r="X212">
        <v>0</v>
      </c>
      <c r="Y212">
        <v>16320</v>
      </c>
      <c r="Z212">
        <v>0</v>
      </c>
      <c r="AA212">
        <v>0</v>
      </c>
      <c r="AB212">
        <v>16320</v>
      </c>
      <c r="AC212">
        <v>0</v>
      </c>
      <c r="AE212" s="16">
        <f t="shared" si="21"/>
        <v>0</v>
      </c>
      <c r="AF212" s="16">
        <f t="shared" si="22"/>
        <v>1</v>
      </c>
      <c r="AG212" s="16">
        <f t="shared" si="23"/>
        <v>0</v>
      </c>
      <c r="AH212" s="16">
        <f t="shared" si="24"/>
        <v>1</v>
      </c>
      <c r="AI212" s="16">
        <f t="shared" si="25"/>
        <v>0</v>
      </c>
      <c r="AJ212" s="16">
        <f t="shared" si="26"/>
        <v>1</v>
      </c>
      <c r="AK212" t="str">
        <f t="shared" si="27"/>
        <v>yes</v>
      </c>
    </row>
    <row r="213" spans="1:37" x14ac:dyDescent="0.2">
      <c r="A213" s="35"/>
      <c r="B213" s="8"/>
      <c r="C213" s="8"/>
      <c r="D213" s="8"/>
      <c r="E213" s="8"/>
      <c r="F213" s="8"/>
      <c r="G213" s="8"/>
      <c r="H213" s="8"/>
      <c r="I213" s="8"/>
      <c r="K213" s="16">
        <v>206</v>
      </c>
      <c r="L213" t="s">
        <v>693</v>
      </c>
      <c r="M213">
        <v>96</v>
      </c>
      <c r="N213">
        <v>0</v>
      </c>
      <c r="O213">
        <v>27</v>
      </c>
      <c r="P213">
        <v>78.05</v>
      </c>
      <c r="Q213">
        <v>91</v>
      </c>
      <c r="R213">
        <v>32</v>
      </c>
      <c r="S213">
        <v>73.98</v>
      </c>
      <c r="U213" s="16">
        <v>206</v>
      </c>
      <c r="V213" t="s">
        <v>693</v>
      </c>
      <c r="W213">
        <v>0</v>
      </c>
      <c r="X213">
        <v>0</v>
      </c>
      <c r="Y213">
        <v>16320</v>
      </c>
      <c r="Z213">
        <v>0</v>
      </c>
      <c r="AA213">
        <v>0</v>
      </c>
      <c r="AB213">
        <v>16320</v>
      </c>
      <c r="AC213">
        <v>0</v>
      </c>
      <c r="AE213" s="16">
        <f t="shared" si="21"/>
        <v>0</v>
      </c>
      <c r="AF213" s="16">
        <f t="shared" si="22"/>
        <v>1</v>
      </c>
      <c r="AG213" s="16">
        <f t="shared" si="23"/>
        <v>0</v>
      </c>
      <c r="AH213" s="16">
        <f t="shared" si="24"/>
        <v>1</v>
      </c>
      <c r="AI213" s="16">
        <f t="shared" si="25"/>
        <v>0</v>
      </c>
      <c r="AJ213" s="16">
        <f t="shared" si="26"/>
        <v>1</v>
      </c>
      <c r="AK213" t="str">
        <f t="shared" si="27"/>
        <v>yes</v>
      </c>
    </row>
    <row r="214" spans="1:37" x14ac:dyDescent="0.2">
      <c r="A214" s="35"/>
      <c r="B214" s="8"/>
      <c r="C214" s="8"/>
      <c r="D214" s="8"/>
      <c r="E214" s="8"/>
      <c r="F214" s="8"/>
      <c r="G214" s="8"/>
      <c r="H214" s="8"/>
      <c r="I214" s="8"/>
      <c r="K214" s="16">
        <v>207</v>
      </c>
      <c r="L214" t="s">
        <v>694</v>
      </c>
      <c r="M214">
        <v>93</v>
      </c>
      <c r="N214">
        <v>0</v>
      </c>
      <c r="O214">
        <v>30</v>
      </c>
      <c r="P214">
        <v>75.61</v>
      </c>
      <c r="Q214">
        <v>88</v>
      </c>
      <c r="R214">
        <v>35</v>
      </c>
      <c r="S214">
        <v>71.540000000000006</v>
      </c>
      <c r="U214" s="16">
        <v>207</v>
      </c>
      <c r="V214" t="s">
        <v>694</v>
      </c>
      <c r="W214">
        <v>0</v>
      </c>
      <c r="X214">
        <v>0</v>
      </c>
      <c r="Y214">
        <v>16320</v>
      </c>
      <c r="Z214">
        <v>0</v>
      </c>
      <c r="AA214">
        <v>0</v>
      </c>
      <c r="AB214">
        <v>16320</v>
      </c>
      <c r="AC214">
        <v>0</v>
      </c>
      <c r="AE214" s="16">
        <f t="shared" si="21"/>
        <v>0</v>
      </c>
      <c r="AF214" s="16">
        <f t="shared" si="22"/>
        <v>1</v>
      </c>
      <c r="AG214" s="16">
        <f t="shared" si="23"/>
        <v>0</v>
      </c>
      <c r="AH214" s="16">
        <f t="shared" si="24"/>
        <v>1</v>
      </c>
      <c r="AI214" s="16">
        <f t="shared" si="25"/>
        <v>0</v>
      </c>
      <c r="AJ214" s="16">
        <f t="shared" si="26"/>
        <v>1</v>
      </c>
      <c r="AK214" t="str">
        <f t="shared" si="27"/>
        <v>yes</v>
      </c>
    </row>
    <row r="215" spans="1:37" x14ac:dyDescent="0.2">
      <c r="A215" s="35"/>
      <c r="B215" s="8"/>
      <c r="C215" s="8"/>
      <c r="D215" s="8"/>
      <c r="E215" s="8"/>
      <c r="F215" s="8"/>
      <c r="G215" s="8"/>
      <c r="H215" s="8"/>
      <c r="I215" s="8"/>
      <c r="K215" s="16">
        <v>208</v>
      </c>
      <c r="L215" t="s">
        <v>695</v>
      </c>
      <c r="M215">
        <v>87</v>
      </c>
      <c r="N215">
        <v>0</v>
      </c>
      <c r="O215">
        <v>36</v>
      </c>
      <c r="P215">
        <v>70.73</v>
      </c>
      <c r="Q215">
        <v>82</v>
      </c>
      <c r="R215">
        <v>41</v>
      </c>
      <c r="S215">
        <v>66.67</v>
      </c>
      <c r="U215" s="16">
        <v>208</v>
      </c>
      <c r="V215" t="s">
        <v>695</v>
      </c>
      <c r="W215">
        <v>0</v>
      </c>
      <c r="X215">
        <v>0</v>
      </c>
      <c r="Y215">
        <v>16320</v>
      </c>
      <c r="Z215">
        <v>0</v>
      </c>
      <c r="AA215">
        <v>0</v>
      </c>
      <c r="AB215">
        <v>16320</v>
      </c>
      <c r="AC215">
        <v>0</v>
      </c>
      <c r="AE215" s="16">
        <f t="shared" si="21"/>
        <v>0</v>
      </c>
      <c r="AF215" s="16">
        <f t="shared" si="22"/>
        <v>1</v>
      </c>
      <c r="AG215" s="16">
        <f t="shared" si="23"/>
        <v>0</v>
      </c>
      <c r="AH215" s="16">
        <f t="shared" si="24"/>
        <v>1</v>
      </c>
      <c r="AI215" s="16">
        <f t="shared" si="25"/>
        <v>0</v>
      </c>
      <c r="AJ215" s="16">
        <f t="shared" si="26"/>
        <v>1</v>
      </c>
      <c r="AK215" t="str">
        <f t="shared" si="27"/>
        <v>yes</v>
      </c>
    </row>
    <row r="216" spans="1:37" x14ac:dyDescent="0.2">
      <c r="A216" s="35"/>
      <c r="B216" s="8"/>
      <c r="C216" s="8"/>
      <c r="D216" s="8"/>
      <c r="E216" s="8"/>
      <c r="F216" s="8"/>
      <c r="G216" s="8"/>
      <c r="H216" s="8"/>
      <c r="I216" s="8"/>
      <c r="K216" s="16">
        <v>209</v>
      </c>
      <c r="L216" t="s">
        <v>696</v>
      </c>
      <c r="M216">
        <v>96</v>
      </c>
      <c r="N216">
        <v>0</v>
      </c>
      <c r="O216">
        <v>27</v>
      </c>
      <c r="P216">
        <v>78.05</v>
      </c>
      <c r="Q216">
        <v>91</v>
      </c>
      <c r="R216">
        <v>32</v>
      </c>
      <c r="S216">
        <v>73.98</v>
      </c>
      <c r="U216" s="16">
        <v>209</v>
      </c>
      <c r="V216" t="s">
        <v>696</v>
      </c>
      <c r="W216">
        <v>0</v>
      </c>
      <c r="X216">
        <v>0</v>
      </c>
      <c r="Y216">
        <v>16320</v>
      </c>
      <c r="Z216">
        <v>0</v>
      </c>
      <c r="AA216">
        <v>0</v>
      </c>
      <c r="AB216">
        <v>16320</v>
      </c>
      <c r="AC216">
        <v>0</v>
      </c>
      <c r="AE216" s="16">
        <f t="shared" si="21"/>
        <v>0</v>
      </c>
      <c r="AF216" s="16">
        <f t="shared" si="22"/>
        <v>1</v>
      </c>
      <c r="AG216" s="16">
        <f t="shared" si="23"/>
        <v>0</v>
      </c>
      <c r="AH216" s="16">
        <f t="shared" si="24"/>
        <v>1</v>
      </c>
      <c r="AI216" s="16">
        <f t="shared" si="25"/>
        <v>0</v>
      </c>
      <c r="AJ216" s="16">
        <f t="shared" si="26"/>
        <v>1</v>
      </c>
      <c r="AK216" t="str">
        <f t="shared" si="27"/>
        <v>yes</v>
      </c>
    </row>
    <row r="217" spans="1:37" x14ac:dyDescent="0.2">
      <c r="A217" s="35"/>
      <c r="B217" s="8"/>
      <c r="C217" s="8"/>
      <c r="D217" s="8"/>
      <c r="E217" s="8"/>
      <c r="F217" s="8"/>
      <c r="G217" s="8"/>
      <c r="H217" s="8"/>
      <c r="I217" s="8"/>
      <c r="K217" s="16">
        <v>210</v>
      </c>
      <c r="L217" t="s">
        <v>697</v>
      </c>
      <c r="M217">
        <v>98</v>
      </c>
      <c r="N217">
        <v>0</v>
      </c>
      <c r="O217">
        <v>25</v>
      </c>
      <c r="P217">
        <v>79.67</v>
      </c>
      <c r="Q217">
        <v>93</v>
      </c>
      <c r="R217">
        <v>30</v>
      </c>
      <c r="S217">
        <v>75.61</v>
      </c>
      <c r="U217" s="16">
        <v>210</v>
      </c>
      <c r="V217" t="s">
        <v>697</v>
      </c>
      <c r="W217">
        <v>0</v>
      </c>
      <c r="X217">
        <v>0</v>
      </c>
      <c r="Y217">
        <v>16320</v>
      </c>
      <c r="Z217">
        <v>0</v>
      </c>
      <c r="AA217">
        <v>0</v>
      </c>
      <c r="AB217">
        <v>16320</v>
      </c>
      <c r="AC217">
        <v>0</v>
      </c>
      <c r="AE217" s="16">
        <f t="shared" si="21"/>
        <v>0</v>
      </c>
      <c r="AF217" s="16">
        <f t="shared" si="22"/>
        <v>1</v>
      </c>
      <c r="AG217" s="16">
        <f t="shared" si="23"/>
        <v>0</v>
      </c>
      <c r="AH217" s="16">
        <f t="shared" si="24"/>
        <v>1</v>
      </c>
      <c r="AI217" s="16">
        <f t="shared" si="25"/>
        <v>0</v>
      </c>
      <c r="AJ217" s="16">
        <f t="shared" si="26"/>
        <v>1</v>
      </c>
      <c r="AK217" t="str">
        <f t="shared" si="27"/>
        <v>yes</v>
      </c>
    </row>
    <row r="218" spans="1:37" x14ac:dyDescent="0.2">
      <c r="A218" s="35"/>
      <c r="B218" s="8"/>
      <c r="C218" s="8"/>
      <c r="D218" s="8"/>
      <c r="E218" s="8"/>
      <c r="F218" s="8"/>
      <c r="G218" s="8"/>
      <c r="H218" s="8"/>
      <c r="I218" s="8"/>
      <c r="K218" s="16">
        <v>211</v>
      </c>
      <c r="L218" t="s">
        <v>698</v>
      </c>
      <c r="M218">
        <v>39</v>
      </c>
      <c r="N218">
        <v>0</v>
      </c>
      <c r="O218">
        <v>84</v>
      </c>
      <c r="P218">
        <v>31.71</v>
      </c>
      <c r="Q218">
        <v>36</v>
      </c>
      <c r="R218">
        <v>87</v>
      </c>
      <c r="S218">
        <v>29.27</v>
      </c>
      <c r="U218" s="16">
        <v>211</v>
      </c>
      <c r="V218" t="s">
        <v>698</v>
      </c>
      <c r="W218">
        <v>0</v>
      </c>
      <c r="X218">
        <v>0</v>
      </c>
      <c r="Y218">
        <v>16320</v>
      </c>
      <c r="Z218">
        <v>0</v>
      </c>
      <c r="AA218">
        <v>0</v>
      </c>
      <c r="AB218">
        <v>16320</v>
      </c>
      <c r="AC218">
        <v>0</v>
      </c>
      <c r="AE218" s="16">
        <f t="shared" si="21"/>
        <v>0</v>
      </c>
      <c r="AF218" s="16">
        <f t="shared" si="22"/>
        <v>1</v>
      </c>
      <c r="AG218" s="16">
        <f t="shared" si="23"/>
        <v>0</v>
      </c>
      <c r="AH218" s="16">
        <f t="shared" si="24"/>
        <v>1</v>
      </c>
      <c r="AI218" s="16">
        <f t="shared" si="25"/>
        <v>0</v>
      </c>
      <c r="AJ218" s="16">
        <f t="shared" si="26"/>
        <v>1</v>
      </c>
      <c r="AK218" t="str">
        <f t="shared" si="27"/>
        <v>yes</v>
      </c>
    </row>
    <row r="219" spans="1:37" x14ac:dyDescent="0.2">
      <c r="A219" s="35"/>
      <c r="B219" s="8"/>
      <c r="C219" s="8"/>
      <c r="D219" s="8"/>
      <c r="E219" s="8"/>
      <c r="F219" s="8"/>
      <c r="G219" s="8"/>
      <c r="H219" s="8"/>
      <c r="I219" s="8"/>
      <c r="K219" s="16">
        <v>212</v>
      </c>
      <c r="L219" t="s">
        <v>699</v>
      </c>
      <c r="M219">
        <v>86</v>
      </c>
      <c r="N219">
        <v>0</v>
      </c>
      <c r="O219">
        <v>37</v>
      </c>
      <c r="P219">
        <v>69.92</v>
      </c>
      <c r="Q219">
        <v>81</v>
      </c>
      <c r="R219">
        <v>42</v>
      </c>
      <c r="S219">
        <v>65.849999999999994</v>
      </c>
      <c r="U219" s="16">
        <v>212</v>
      </c>
      <c r="V219" t="s">
        <v>699</v>
      </c>
      <c r="W219">
        <v>0</v>
      </c>
      <c r="X219">
        <v>0</v>
      </c>
      <c r="Y219">
        <v>16320</v>
      </c>
      <c r="Z219">
        <v>0</v>
      </c>
      <c r="AA219">
        <v>0</v>
      </c>
      <c r="AB219">
        <v>16320</v>
      </c>
      <c r="AC219">
        <v>0</v>
      </c>
      <c r="AE219" s="16">
        <f t="shared" si="21"/>
        <v>0</v>
      </c>
      <c r="AF219" s="16">
        <f t="shared" si="22"/>
        <v>1</v>
      </c>
      <c r="AG219" s="16">
        <f t="shared" si="23"/>
        <v>0</v>
      </c>
      <c r="AH219" s="16">
        <f t="shared" si="24"/>
        <v>1</v>
      </c>
      <c r="AI219" s="16">
        <f t="shared" si="25"/>
        <v>0</v>
      </c>
      <c r="AJ219" s="16">
        <f t="shared" si="26"/>
        <v>1</v>
      </c>
      <c r="AK219" t="str">
        <f t="shared" si="27"/>
        <v>yes</v>
      </c>
    </row>
    <row r="220" spans="1:37" x14ac:dyDescent="0.2">
      <c r="A220" s="35"/>
      <c r="B220" s="8"/>
      <c r="C220" s="8"/>
      <c r="D220" s="8"/>
      <c r="E220" s="8"/>
      <c r="F220" s="8"/>
      <c r="G220" s="8"/>
      <c r="H220" s="8"/>
      <c r="I220" s="8"/>
      <c r="K220" s="16">
        <v>213</v>
      </c>
      <c r="L220" t="s">
        <v>700</v>
      </c>
      <c r="M220">
        <v>88</v>
      </c>
      <c r="N220">
        <v>0</v>
      </c>
      <c r="O220">
        <v>35</v>
      </c>
      <c r="P220">
        <v>71.540000000000006</v>
      </c>
      <c r="Q220">
        <v>83</v>
      </c>
      <c r="R220">
        <v>40</v>
      </c>
      <c r="S220">
        <v>67.48</v>
      </c>
      <c r="U220" s="16">
        <v>213</v>
      </c>
      <c r="V220" t="s">
        <v>700</v>
      </c>
      <c r="W220">
        <v>0</v>
      </c>
      <c r="X220">
        <v>0</v>
      </c>
      <c r="Y220">
        <v>16320</v>
      </c>
      <c r="Z220">
        <v>0</v>
      </c>
      <c r="AA220">
        <v>0</v>
      </c>
      <c r="AB220">
        <v>16320</v>
      </c>
      <c r="AC220">
        <v>0</v>
      </c>
      <c r="AE220" s="16">
        <f t="shared" si="21"/>
        <v>0</v>
      </c>
      <c r="AF220" s="16">
        <f t="shared" si="22"/>
        <v>1</v>
      </c>
      <c r="AG220" s="16">
        <f t="shared" si="23"/>
        <v>0</v>
      </c>
      <c r="AH220" s="16">
        <f t="shared" si="24"/>
        <v>1</v>
      </c>
      <c r="AI220" s="16">
        <f t="shared" si="25"/>
        <v>0</v>
      </c>
      <c r="AJ220" s="16">
        <f t="shared" si="26"/>
        <v>1</v>
      </c>
      <c r="AK220" t="str">
        <f t="shared" si="27"/>
        <v>yes</v>
      </c>
    </row>
    <row r="221" spans="1:37" x14ac:dyDescent="0.2">
      <c r="A221" s="35"/>
      <c r="B221" s="8"/>
      <c r="C221" s="8"/>
      <c r="D221" s="8"/>
      <c r="E221" s="8"/>
      <c r="F221" s="8"/>
      <c r="G221" s="8"/>
      <c r="H221" s="8"/>
      <c r="I221" s="8"/>
      <c r="K221" s="16">
        <v>214</v>
      </c>
      <c r="L221" t="s">
        <v>701</v>
      </c>
      <c r="M221">
        <v>43</v>
      </c>
      <c r="N221">
        <v>0</v>
      </c>
      <c r="O221">
        <v>80</v>
      </c>
      <c r="P221">
        <v>34.96</v>
      </c>
      <c r="Q221">
        <v>41</v>
      </c>
      <c r="R221">
        <v>82</v>
      </c>
      <c r="S221">
        <v>33.33</v>
      </c>
      <c r="U221" s="16">
        <v>214</v>
      </c>
      <c r="V221" t="s">
        <v>701</v>
      </c>
      <c r="W221">
        <v>0</v>
      </c>
      <c r="X221">
        <v>0</v>
      </c>
      <c r="Y221">
        <v>16320</v>
      </c>
      <c r="Z221">
        <v>0</v>
      </c>
      <c r="AA221">
        <v>0</v>
      </c>
      <c r="AB221">
        <v>16320</v>
      </c>
      <c r="AC221">
        <v>0</v>
      </c>
      <c r="AE221" s="16">
        <f t="shared" si="21"/>
        <v>0</v>
      </c>
      <c r="AF221" s="16">
        <f t="shared" si="22"/>
        <v>1</v>
      </c>
      <c r="AG221" s="16">
        <f t="shared" si="23"/>
        <v>0</v>
      </c>
      <c r="AH221" s="16">
        <f t="shared" si="24"/>
        <v>1</v>
      </c>
      <c r="AI221" s="16">
        <f t="shared" si="25"/>
        <v>0</v>
      </c>
      <c r="AJ221" s="16">
        <f t="shared" si="26"/>
        <v>1</v>
      </c>
      <c r="AK221" t="str">
        <f t="shared" si="27"/>
        <v>yes</v>
      </c>
    </row>
    <row r="222" spans="1:37" x14ac:dyDescent="0.2">
      <c r="A222" s="35"/>
      <c r="B222" s="8"/>
      <c r="C222" s="8"/>
      <c r="D222" s="8"/>
      <c r="E222" s="8"/>
      <c r="F222" s="8"/>
      <c r="G222" s="8"/>
      <c r="H222" s="8"/>
      <c r="I222" s="8"/>
      <c r="K222" s="16">
        <v>215</v>
      </c>
      <c r="L222" t="s">
        <v>702</v>
      </c>
      <c r="M222">
        <v>41</v>
      </c>
      <c r="N222">
        <v>0</v>
      </c>
      <c r="O222">
        <v>82</v>
      </c>
      <c r="P222">
        <v>33.33</v>
      </c>
      <c r="Q222">
        <v>39</v>
      </c>
      <c r="R222">
        <v>84</v>
      </c>
      <c r="S222">
        <v>31.71</v>
      </c>
      <c r="U222" s="16">
        <v>215</v>
      </c>
      <c r="V222" t="s">
        <v>702</v>
      </c>
      <c r="W222">
        <v>0</v>
      </c>
      <c r="X222">
        <v>0</v>
      </c>
      <c r="Y222">
        <v>16320</v>
      </c>
      <c r="Z222">
        <v>0</v>
      </c>
      <c r="AA222">
        <v>0</v>
      </c>
      <c r="AB222">
        <v>16320</v>
      </c>
      <c r="AC222">
        <v>0</v>
      </c>
      <c r="AE222" s="16">
        <f t="shared" si="21"/>
        <v>0</v>
      </c>
      <c r="AF222" s="16">
        <f t="shared" si="22"/>
        <v>1</v>
      </c>
      <c r="AG222" s="16">
        <f t="shared" si="23"/>
        <v>0</v>
      </c>
      <c r="AH222" s="16">
        <f t="shared" si="24"/>
        <v>1</v>
      </c>
      <c r="AI222" s="16">
        <f t="shared" si="25"/>
        <v>0</v>
      </c>
      <c r="AJ222" s="16">
        <f t="shared" si="26"/>
        <v>1</v>
      </c>
      <c r="AK222" t="str">
        <f t="shared" si="27"/>
        <v>yes</v>
      </c>
    </row>
    <row r="223" spans="1:37" x14ac:dyDescent="0.2">
      <c r="A223" s="35"/>
      <c r="B223" s="8"/>
      <c r="C223" s="8"/>
      <c r="D223" s="8"/>
      <c r="E223" s="8"/>
      <c r="F223" s="8"/>
      <c r="G223" s="8"/>
      <c r="H223" s="8"/>
      <c r="I223" s="8"/>
      <c r="K223" s="16">
        <v>216</v>
      </c>
      <c r="L223" t="s">
        <v>703</v>
      </c>
      <c r="M223">
        <v>43</v>
      </c>
      <c r="N223">
        <v>0</v>
      </c>
      <c r="O223">
        <v>80</v>
      </c>
      <c r="P223">
        <v>34.96</v>
      </c>
      <c r="Q223">
        <v>41</v>
      </c>
      <c r="R223">
        <v>82</v>
      </c>
      <c r="S223">
        <v>33.33</v>
      </c>
      <c r="U223" s="16">
        <v>216</v>
      </c>
      <c r="V223" t="s">
        <v>703</v>
      </c>
      <c r="W223">
        <v>0</v>
      </c>
      <c r="X223">
        <v>0</v>
      </c>
      <c r="Y223">
        <v>16320</v>
      </c>
      <c r="Z223">
        <v>0</v>
      </c>
      <c r="AA223">
        <v>0</v>
      </c>
      <c r="AB223">
        <v>16320</v>
      </c>
      <c r="AC223">
        <v>0</v>
      </c>
      <c r="AE223" s="16">
        <f t="shared" si="21"/>
        <v>0</v>
      </c>
      <c r="AF223" s="16">
        <f t="shared" si="22"/>
        <v>1</v>
      </c>
      <c r="AG223" s="16">
        <f t="shared" si="23"/>
        <v>0</v>
      </c>
      <c r="AH223" s="16">
        <f t="shared" si="24"/>
        <v>1</v>
      </c>
      <c r="AI223" s="16">
        <f t="shared" si="25"/>
        <v>0</v>
      </c>
      <c r="AJ223" s="16">
        <f t="shared" si="26"/>
        <v>1</v>
      </c>
      <c r="AK223" t="str">
        <f t="shared" si="27"/>
        <v>yes</v>
      </c>
    </row>
    <row r="224" spans="1:37" x14ac:dyDescent="0.2">
      <c r="A224" s="35"/>
      <c r="B224" s="8"/>
      <c r="C224" s="8"/>
      <c r="D224" s="8"/>
      <c r="E224" s="8"/>
      <c r="F224" s="8"/>
      <c r="G224" s="8"/>
      <c r="H224" s="8"/>
      <c r="I224" s="8"/>
      <c r="K224" s="16">
        <v>217</v>
      </c>
      <c r="L224" t="s">
        <v>704</v>
      </c>
      <c r="M224">
        <v>81</v>
      </c>
      <c r="N224">
        <v>0</v>
      </c>
      <c r="O224">
        <v>42</v>
      </c>
      <c r="P224">
        <v>65.849999999999994</v>
      </c>
      <c r="Q224">
        <v>76</v>
      </c>
      <c r="R224">
        <v>47</v>
      </c>
      <c r="S224">
        <v>61.79</v>
      </c>
      <c r="U224" s="16">
        <v>217</v>
      </c>
      <c r="V224" t="s">
        <v>704</v>
      </c>
      <c r="W224">
        <v>0</v>
      </c>
      <c r="X224">
        <v>0</v>
      </c>
      <c r="Y224">
        <v>16320</v>
      </c>
      <c r="Z224">
        <v>0</v>
      </c>
      <c r="AA224">
        <v>0</v>
      </c>
      <c r="AB224">
        <v>16320</v>
      </c>
      <c r="AC224">
        <v>0</v>
      </c>
      <c r="AE224" s="16">
        <f t="shared" si="21"/>
        <v>0</v>
      </c>
      <c r="AF224" s="16">
        <f t="shared" si="22"/>
        <v>1</v>
      </c>
      <c r="AG224" s="16">
        <f t="shared" si="23"/>
        <v>0</v>
      </c>
      <c r="AH224" s="16">
        <f t="shared" si="24"/>
        <v>1</v>
      </c>
      <c r="AI224" s="16">
        <f t="shared" si="25"/>
        <v>0</v>
      </c>
      <c r="AJ224" s="16">
        <f t="shared" si="26"/>
        <v>1</v>
      </c>
      <c r="AK224" t="str">
        <f t="shared" si="27"/>
        <v>yes</v>
      </c>
    </row>
    <row r="225" spans="1:37" x14ac:dyDescent="0.2">
      <c r="A225" s="35"/>
      <c r="B225" s="8"/>
      <c r="C225" s="8"/>
      <c r="D225" s="8"/>
      <c r="E225" s="8"/>
      <c r="F225" s="8"/>
      <c r="G225" s="8"/>
      <c r="H225" s="8"/>
      <c r="I225" s="8"/>
      <c r="K225" s="16">
        <v>218</v>
      </c>
      <c r="L225" t="s">
        <v>705</v>
      </c>
      <c r="M225">
        <v>92</v>
      </c>
      <c r="N225">
        <v>0</v>
      </c>
      <c r="O225">
        <v>31</v>
      </c>
      <c r="P225">
        <v>74.8</v>
      </c>
      <c r="Q225">
        <v>87</v>
      </c>
      <c r="R225">
        <v>36</v>
      </c>
      <c r="S225">
        <v>70.73</v>
      </c>
      <c r="U225" s="16">
        <v>218</v>
      </c>
      <c r="V225" t="s">
        <v>705</v>
      </c>
      <c r="W225">
        <v>0</v>
      </c>
      <c r="X225">
        <v>0</v>
      </c>
      <c r="Y225">
        <v>16320</v>
      </c>
      <c r="Z225">
        <v>0</v>
      </c>
      <c r="AA225">
        <v>0</v>
      </c>
      <c r="AB225">
        <v>16320</v>
      </c>
      <c r="AC225">
        <v>0</v>
      </c>
      <c r="AE225" s="16">
        <f t="shared" si="21"/>
        <v>0</v>
      </c>
      <c r="AF225" s="16">
        <f t="shared" si="22"/>
        <v>1</v>
      </c>
      <c r="AG225" s="16">
        <f t="shared" si="23"/>
        <v>0</v>
      </c>
      <c r="AH225" s="16">
        <f t="shared" si="24"/>
        <v>1</v>
      </c>
      <c r="AI225" s="16">
        <f t="shared" si="25"/>
        <v>0</v>
      </c>
      <c r="AJ225" s="16">
        <f t="shared" si="26"/>
        <v>1</v>
      </c>
      <c r="AK225" t="str">
        <f t="shared" si="27"/>
        <v>yes</v>
      </c>
    </row>
    <row r="226" spans="1:37" x14ac:dyDescent="0.2">
      <c r="A226" s="35"/>
      <c r="B226" s="8"/>
      <c r="C226" s="8"/>
      <c r="D226" s="8"/>
      <c r="E226" s="8"/>
      <c r="F226" s="8"/>
      <c r="G226" s="8"/>
      <c r="H226" s="8"/>
      <c r="I226" s="8"/>
      <c r="K226" s="16">
        <v>219</v>
      </c>
      <c r="L226" t="s">
        <v>706</v>
      </c>
      <c r="M226">
        <v>90</v>
      </c>
      <c r="N226">
        <v>0</v>
      </c>
      <c r="O226">
        <v>33</v>
      </c>
      <c r="P226">
        <v>73.17</v>
      </c>
      <c r="Q226">
        <v>85</v>
      </c>
      <c r="R226">
        <v>38</v>
      </c>
      <c r="S226">
        <v>69.11</v>
      </c>
      <c r="U226" s="16">
        <v>219</v>
      </c>
      <c r="V226" t="s">
        <v>706</v>
      </c>
      <c r="W226">
        <v>0</v>
      </c>
      <c r="X226">
        <v>0</v>
      </c>
      <c r="Y226">
        <v>16320</v>
      </c>
      <c r="Z226">
        <v>0</v>
      </c>
      <c r="AA226">
        <v>0</v>
      </c>
      <c r="AB226">
        <v>16320</v>
      </c>
      <c r="AC226">
        <v>0</v>
      </c>
      <c r="AE226" s="16">
        <f t="shared" si="21"/>
        <v>0</v>
      </c>
      <c r="AF226" s="16">
        <f t="shared" si="22"/>
        <v>1</v>
      </c>
      <c r="AG226" s="16">
        <f t="shared" si="23"/>
        <v>0</v>
      </c>
      <c r="AH226" s="16">
        <f t="shared" si="24"/>
        <v>1</v>
      </c>
      <c r="AI226" s="16">
        <f t="shared" si="25"/>
        <v>0</v>
      </c>
      <c r="AJ226" s="16">
        <f t="shared" si="26"/>
        <v>1</v>
      </c>
      <c r="AK226" t="str">
        <f t="shared" si="27"/>
        <v>yes</v>
      </c>
    </row>
    <row r="227" spans="1:37" x14ac:dyDescent="0.2">
      <c r="A227" s="35"/>
      <c r="B227" s="8"/>
      <c r="C227" s="8"/>
      <c r="D227" s="8"/>
      <c r="E227" s="8"/>
      <c r="F227" s="8"/>
      <c r="G227" s="8"/>
      <c r="H227" s="8"/>
      <c r="I227" s="8"/>
      <c r="K227" s="16">
        <v>220</v>
      </c>
      <c r="L227" t="s">
        <v>707</v>
      </c>
      <c r="M227">
        <v>88</v>
      </c>
      <c r="N227">
        <v>0</v>
      </c>
      <c r="O227">
        <v>35</v>
      </c>
      <c r="P227">
        <v>71.540000000000006</v>
      </c>
      <c r="Q227">
        <v>83</v>
      </c>
      <c r="R227">
        <v>40</v>
      </c>
      <c r="S227">
        <v>67.48</v>
      </c>
      <c r="U227" s="16">
        <v>220</v>
      </c>
      <c r="V227" t="s">
        <v>707</v>
      </c>
      <c r="W227">
        <v>0</v>
      </c>
      <c r="X227">
        <v>0</v>
      </c>
      <c r="Y227">
        <v>16320</v>
      </c>
      <c r="Z227">
        <v>0</v>
      </c>
      <c r="AA227">
        <v>0</v>
      </c>
      <c r="AB227">
        <v>16320</v>
      </c>
      <c r="AC227">
        <v>0</v>
      </c>
      <c r="AE227" s="16">
        <f t="shared" si="21"/>
        <v>0</v>
      </c>
      <c r="AF227" s="16">
        <f t="shared" si="22"/>
        <v>1</v>
      </c>
      <c r="AG227" s="16">
        <f t="shared" si="23"/>
        <v>0</v>
      </c>
      <c r="AH227" s="16">
        <f t="shared" si="24"/>
        <v>1</v>
      </c>
      <c r="AI227" s="16">
        <f t="shared" si="25"/>
        <v>0</v>
      </c>
      <c r="AJ227" s="16">
        <f t="shared" si="26"/>
        <v>1</v>
      </c>
      <c r="AK227" t="str">
        <f t="shared" si="27"/>
        <v>yes</v>
      </c>
    </row>
    <row r="228" spans="1:37" x14ac:dyDescent="0.2">
      <c r="A228" s="35"/>
      <c r="B228" s="8"/>
      <c r="C228" s="8"/>
      <c r="D228" s="8"/>
      <c r="E228" s="8"/>
      <c r="F228" s="8"/>
      <c r="G228" s="8"/>
      <c r="H228" s="8"/>
      <c r="I228" s="8"/>
      <c r="K228" s="16">
        <v>221</v>
      </c>
      <c r="L228" t="s">
        <v>708</v>
      </c>
      <c r="M228">
        <v>91</v>
      </c>
      <c r="N228">
        <v>0</v>
      </c>
      <c r="O228">
        <v>32</v>
      </c>
      <c r="P228">
        <v>73.98</v>
      </c>
      <c r="Q228">
        <v>86</v>
      </c>
      <c r="R228">
        <v>37</v>
      </c>
      <c r="S228">
        <v>69.92</v>
      </c>
      <c r="U228" s="16">
        <v>221</v>
      </c>
      <c r="V228" t="s">
        <v>708</v>
      </c>
      <c r="W228">
        <v>0</v>
      </c>
      <c r="X228">
        <v>0</v>
      </c>
      <c r="Y228">
        <v>16320</v>
      </c>
      <c r="Z228">
        <v>0</v>
      </c>
      <c r="AA228">
        <v>0</v>
      </c>
      <c r="AB228">
        <v>16320</v>
      </c>
      <c r="AC228">
        <v>0</v>
      </c>
      <c r="AE228" s="16">
        <f t="shared" si="21"/>
        <v>0</v>
      </c>
      <c r="AF228" s="16">
        <f t="shared" si="22"/>
        <v>1</v>
      </c>
      <c r="AG228" s="16">
        <f t="shared" si="23"/>
        <v>0</v>
      </c>
      <c r="AH228" s="16">
        <f t="shared" si="24"/>
        <v>1</v>
      </c>
      <c r="AI228" s="16">
        <f t="shared" si="25"/>
        <v>0</v>
      </c>
      <c r="AJ228" s="16">
        <f t="shared" si="26"/>
        <v>1</v>
      </c>
      <c r="AK228" t="str">
        <f t="shared" si="27"/>
        <v>yes</v>
      </c>
    </row>
    <row r="229" spans="1:37" x14ac:dyDescent="0.2">
      <c r="A229" s="35"/>
      <c r="B229" s="8"/>
      <c r="C229" s="8"/>
      <c r="D229" s="8"/>
      <c r="E229" s="8"/>
      <c r="F229" s="8"/>
      <c r="G229" s="8"/>
      <c r="H229" s="8"/>
      <c r="I229" s="8"/>
      <c r="K229" s="16">
        <v>222</v>
      </c>
      <c r="L229" t="s">
        <v>709</v>
      </c>
      <c r="M229">
        <v>102</v>
      </c>
      <c r="N229">
        <v>0</v>
      </c>
      <c r="O229">
        <v>21</v>
      </c>
      <c r="P229">
        <v>82.93</v>
      </c>
      <c r="Q229">
        <v>97</v>
      </c>
      <c r="R229">
        <v>26</v>
      </c>
      <c r="S229">
        <v>78.86</v>
      </c>
      <c r="U229" s="16">
        <v>222</v>
      </c>
      <c r="V229" t="s">
        <v>709</v>
      </c>
      <c r="W229">
        <v>0</v>
      </c>
      <c r="X229">
        <v>0</v>
      </c>
      <c r="Y229">
        <v>16320</v>
      </c>
      <c r="Z229">
        <v>0</v>
      </c>
      <c r="AA229">
        <v>0</v>
      </c>
      <c r="AB229">
        <v>16320</v>
      </c>
      <c r="AC229">
        <v>0</v>
      </c>
      <c r="AE229" s="16">
        <f t="shared" si="21"/>
        <v>0</v>
      </c>
      <c r="AF229" s="16">
        <f t="shared" si="22"/>
        <v>1</v>
      </c>
      <c r="AG229" s="16">
        <f t="shared" si="23"/>
        <v>0</v>
      </c>
      <c r="AH229" s="16">
        <f t="shared" si="24"/>
        <v>1</v>
      </c>
      <c r="AI229" s="16">
        <f t="shared" si="25"/>
        <v>0</v>
      </c>
      <c r="AJ229" s="16">
        <f t="shared" si="26"/>
        <v>1</v>
      </c>
      <c r="AK229" t="str">
        <f t="shared" si="27"/>
        <v>yes</v>
      </c>
    </row>
    <row r="230" spans="1:37" x14ac:dyDescent="0.2">
      <c r="A230" s="35"/>
      <c r="B230" s="8"/>
      <c r="C230" s="8"/>
      <c r="D230" s="8"/>
      <c r="E230" s="8"/>
      <c r="F230" s="8"/>
      <c r="G230" s="8"/>
      <c r="H230" s="8"/>
      <c r="I230" s="8"/>
      <c r="K230" s="16">
        <v>223</v>
      </c>
      <c r="L230" t="s">
        <v>710</v>
      </c>
      <c r="M230">
        <v>0</v>
      </c>
      <c r="N230">
        <v>0</v>
      </c>
      <c r="O230">
        <v>123</v>
      </c>
      <c r="P230">
        <v>0</v>
      </c>
      <c r="Q230">
        <v>0</v>
      </c>
      <c r="R230">
        <v>123</v>
      </c>
      <c r="S230">
        <v>0</v>
      </c>
      <c r="U230" s="16">
        <v>223</v>
      </c>
      <c r="V230" t="s">
        <v>710</v>
      </c>
      <c r="W230">
        <v>0</v>
      </c>
      <c r="X230">
        <v>0</v>
      </c>
      <c r="Y230">
        <v>16320</v>
      </c>
      <c r="Z230">
        <v>0</v>
      </c>
      <c r="AA230">
        <v>0</v>
      </c>
      <c r="AB230">
        <v>16320</v>
      </c>
      <c r="AC230">
        <v>0</v>
      </c>
      <c r="AE230" s="16">
        <f t="shared" si="21"/>
        <v>0</v>
      </c>
      <c r="AF230" s="16">
        <f t="shared" si="22"/>
        <v>0</v>
      </c>
      <c r="AG230" s="16">
        <f t="shared" si="23"/>
        <v>0</v>
      </c>
      <c r="AH230" s="16">
        <f t="shared" si="24"/>
        <v>0</v>
      </c>
      <c r="AI230" s="16">
        <f t="shared" si="25"/>
        <v>1</v>
      </c>
      <c r="AJ230" s="16">
        <f t="shared" si="26"/>
        <v>0</v>
      </c>
      <c r="AK230" t="str">
        <f t="shared" si="27"/>
        <v>no</v>
      </c>
    </row>
    <row r="231" spans="1:37" x14ac:dyDescent="0.2">
      <c r="A231" s="35"/>
      <c r="B231" s="8"/>
      <c r="C231" s="8"/>
      <c r="D231" s="8"/>
      <c r="E231" s="8"/>
      <c r="F231" s="8"/>
      <c r="G231" s="8"/>
      <c r="H231" s="8"/>
      <c r="I231" s="8"/>
      <c r="K231" s="16">
        <v>224</v>
      </c>
      <c r="L231" t="s">
        <v>711</v>
      </c>
      <c r="M231">
        <v>79</v>
      </c>
      <c r="N231">
        <v>0</v>
      </c>
      <c r="O231">
        <v>44</v>
      </c>
      <c r="P231">
        <v>64.23</v>
      </c>
      <c r="Q231">
        <v>74</v>
      </c>
      <c r="R231">
        <v>49</v>
      </c>
      <c r="S231">
        <v>60.16</v>
      </c>
      <c r="U231" s="16">
        <v>224</v>
      </c>
      <c r="V231" t="s">
        <v>711</v>
      </c>
      <c r="W231">
        <v>0</v>
      </c>
      <c r="X231">
        <v>0</v>
      </c>
      <c r="Y231">
        <v>16320</v>
      </c>
      <c r="Z231">
        <v>0</v>
      </c>
      <c r="AA231">
        <v>0</v>
      </c>
      <c r="AB231">
        <v>16320</v>
      </c>
      <c r="AC231">
        <v>0</v>
      </c>
      <c r="AE231" s="16">
        <f t="shared" si="21"/>
        <v>0</v>
      </c>
      <c r="AF231" s="16">
        <f t="shared" si="22"/>
        <v>1</v>
      </c>
      <c r="AG231" s="16">
        <f t="shared" si="23"/>
        <v>0</v>
      </c>
      <c r="AH231" s="16">
        <f t="shared" si="24"/>
        <v>1</v>
      </c>
      <c r="AI231" s="16">
        <f t="shared" si="25"/>
        <v>0</v>
      </c>
      <c r="AJ231" s="16">
        <f t="shared" si="26"/>
        <v>1</v>
      </c>
      <c r="AK231" t="str">
        <f t="shared" si="27"/>
        <v>yes</v>
      </c>
    </row>
    <row r="232" spans="1:37" x14ac:dyDescent="0.2">
      <c r="A232" s="35"/>
      <c r="B232" s="8"/>
      <c r="C232" s="8"/>
      <c r="D232" s="8"/>
      <c r="E232" s="8"/>
      <c r="F232" s="8"/>
      <c r="G232" s="8"/>
      <c r="H232" s="8"/>
      <c r="I232" s="8"/>
      <c r="K232" s="16">
        <v>225</v>
      </c>
      <c r="L232" t="s">
        <v>712</v>
      </c>
      <c r="M232">
        <v>90</v>
      </c>
      <c r="N232">
        <v>0</v>
      </c>
      <c r="O232">
        <v>33</v>
      </c>
      <c r="P232">
        <v>73.17</v>
      </c>
      <c r="Q232">
        <v>85</v>
      </c>
      <c r="R232">
        <v>38</v>
      </c>
      <c r="S232">
        <v>69.11</v>
      </c>
      <c r="U232" s="16">
        <v>225</v>
      </c>
      <c r="V232" t="s">
        <v>712</v>
      </c>
      <c r="W232">
        <v>0</v>
      </c>
      <c r="X232">
        <v>0</v>
      </c>
      <c r="Y232">
        <v>16320</v>
      </c>
      <c r="Z232">
        <v>0</v>
      </c>
      <c r="AA232">
        <v>0</v>
      </c>
      <c r="AB232">
        <v>16320</v>
      </c>
      <c r="AC232">
        <v>0</v>
      </c>
      <c r="AE232" s="16">
        <f t="shared" si="21"/>
        <v>0</v>
      </c>
      <c r="AF232" s="16">
        <f t="shared" si="22"/>
        <v>1</v>
      </c>
      <c r="AG232" s="16">
        <f t="shared" si="23"/>
        <v>0</v>
      </c>
      <c r="AH232" s="16">
        <f t="shared" si="24"/>
        <v>1</v>
      </c>
      <c r="AI232" s="16">
        <f t="shared" si="25"/>
        <v>0</v>
      </c>
      <c r="AJ232" s="16">
        <f t="shared" si="26"/>
        <v>1</v>
      </c>
      <c r="AK232" t="str">
        <f t="shared" si="27"/>
        <v>yes</v>
      </c>
    </row>
    <row r="233" spans="1:37" x14ac:dyDescent="0.2">
      <c r="A233" s="35"/>
      <c r="B233" s="8"/>
      <c r="C233" s="8"/>
      <c r="D233" s="8"/>
      <c r="E233" s="8"/>
      <c r="F233" s="8"/>
      <c r="G233" s="8"/>
      <c r="H233" s="8"/>
      <c r="I233" s="8"/>
      <c r="K233" s="16">
        <v>226</v>
      </c>
      <c r="L233" t="s">
        <v>713</v>
      </c>
      <c r="M233">
        <v>88</v>
      </c>
      <c r="N233">
        <v>0</v>
      </c>
      <c r="O233">
        <v>35</v>
      </c>
      <c r="P233">
        <v>71.540000000000006</v>
      </c>
      <c r="Q233">
        <v>83</v>
      </c>
      <c r="R233">
        <v>40</v>
      </c>
      <c r="S233">
        <v>67.48</v>
      </c>
      <c r="U233" s="16">
        <v>226</v>
      </c>
      <c r="V233" t="s">
        <v>713</v>
      </c>
      <c r="W233">
        <v>0</v>
      </c>
      <c r="X233">
        <v>0</v>
      </c>
      <c r="Y233">
        <v>16320</v>
      </c>
      <c r="Z233">
        <v>0</v>
      </c>
      <c r="AA233">
        <v>0</v>
      </c>
      <c r="AB233">
        <v>16320</v>
      </c>
      <c r="AC233">
        <v>0</v>
      </c>
      <c r="AE233" s="16">
        <f t="shared" si="21"/>
        <v>0</v>
      </c>
      <c r="AF233" s="16">
        <f t="shared" si="22"/>
        <v>1</v>
      </c>
      <c r="AG233" s="16">
        <f t="shared" si="23"/>
        <v>0</v>
      </c>
      <c r="AH233" s="16">
        <f t="shared" si="24"/>
        <v>1</v>
      </c>
      <c r="AI233" s="16">
        <f t="shared" si="25"/>
        <v>0</v>
      </c>
      <c r="AJ233" s="16">
        <f t="shared" si="26"/>
        <v>1</v>
      </c>
      <c r="AK233" t="str">
        <f t="shared" si="27"/>
        <v>yes</v>
      </c>
    </row>
    <row r="234" spans="1:37" x14ac:dyDescent="0.2">
      <c r="A234" s="35"/>
      <c r="B234" s="8"/>
      <c r="C234" s="8"/>
      <c r="D234" s="8"/>
      <c r="E234" s="8"/>
      <c r="F234" s="8"/>
      <c r="G234" s="8"/>
      <c r="H234" s="8"/>
      <c r="I234" s="8"/>
      <c r="K234" s="16">
        <v>227</v>
      </c>
      <c r="L234" t="s">
        <v>714</v>
      </c>
      <c r="M234">
        <v>82</v>
      </c>
      <c r="N234">
        <v>0</v>
      </c>
      <c r="O234">
        <v>41</v>
      </c>
      <c r="P234">
        <v>66.67</v>
      </c>
      <c r="Q234">
        <v>77</v>
      </c>
      <c r="R234">
        <v>46</v>
      </c>
      <c r="S234">
        <v>62.6</v>
      </c>
      <c r="U234" s="16">
        <v>227</v>
      </c>
      <c r="V234" t="s">
        <v>714</v>
      </c>
      <c r="W234">
        <v>0</v>
      </c>
      <c r="X234">
        <v>0</v>
      </c>
      <c r="Y234">
        <v>16320</v>
      </c>
      <c r="Z234">
        <v>0</v>
      </c>
      <c r="AA234">
        <v>0</v>
      </c>
      <c r="AB234">
        <v>16320</v>
      </c>
      <c r="AC234">
        <v>0</v>
      </c>
      <c r="AE234" s="16">
        <f t="shared" si="21"/>
        <v>0</v>
      </c>
      <c r="AF234" s="16">
        <f t="shared" si="22"/>
        <v>1</v>
      </c>
      <c r="AG234" s="16">
        <f t="shared" si="23"/>
        <v>0</v>
      </c>
      <c r="AH234" s="16">
        <f t="shared" si="24"/>
        <v>1</v>
      </c>
      <c r="AI234" s="16">
        <f t="shared" si="25"/>
        <v>0</v>
      </c>
      <c r="AJ234" s="16">
        <f t="shared" si="26"/>
        <v>1</v>
      </c>
      <c r="AK234" t="str">
        <f t="shared" si="27"/>
        <v>yes</v>
      </c>
    </row>
    <row r="235" spans="1:37" x14ac:dyDescent="0.2">
      <c r="A235" s="35"/>
      <c r="B235" s="8"/>
      <c r="C235" s="8"/>
      <c r="D235" s="8"/>
      <c r="E235" s="8"/>
      <c r="F235" s="8"/>
      <c r="G235" s="8"/>
      <c r="H235" s="8"/>
      <c r="I235" s="8"/>
      <c r="K235" s="16">
        <v>228</v>
      </c>
      <c r="L235" t="s">
        <v>715</v>
      </c>
      <c r="M235">
        <v>95</v>
      </c>
      <c r="N235">
        <v>0</v>
      </c>
      <c r="O235">
        <v>28</v>
      </c>
      <c r="P235">
        <v>77.239999999999995</v>
      </c>
      <c r="Q235">
        <v>90</v>
      </c>
      <c r="R235">
        <v>33</v>
      </c>
      <c r="S235">
        <v>73.17</v>
      </c>
      <c r="U235" s="16">
        <v>228</v>
      </c>
      <c r="V235" t="s">
        <v>715</v>
      </c>
      <c r="W235">
        <v>0</v>
      </c>
      <c r="X235">
        <v>0</v>
      </c>
      <c r="Y235">
        <v>16320</v>
      </c>
      <c r="Z235">
        <v>0</v>
      </c>
      <c r="AA235">
        <v>0</v>
      </c>
      <c r="AB235">
        <v>16320</v>
      </c>
      <c r="AC235">
        <v>0</v>
      </c>
      <c r="AE235" s="16">
        <f t="shared" si="21"/>
        <v>0</v>
      </c>
      <c r="AF235" s="16">
        <f t="shared" si="22"/>
        <v>1</v>
      </c>
      <c r="AG235" s="16">
        <f t="shared" si="23"/>
        <v>0</v>
      </c>
      <c r="AH235" s="16">
        <f t="shared" si="24"/>
        <v>1</v>
      </c>
      <c r="AI235" s="16">
        <f t="shared" si="25"/>
        <v>0</v>
      </c>
      <c r="AJ235" s="16">
        <f t="shared" si="26"/>
        <v>1</v>
      </c>
      <c r="AK235" t="str">
        <f t="shared" si="27"/>
        <v>yes</v>
      </c>
    </row>
    <row r="236" spans="1:37" x14ac:dyDescent="0.2">
      <c r="A236" s="35"/>
      <c r="B236" s="8"/>
      <c r="C236" s="8"/>
      <c r="D236" s="8"/>
      <c r="E236" s="8"/>
      <c r="F236" s="8"/>
      <c r="G236" s="8"/>
      <c r="H236" s="8"/>
      <c r="I236" s="8"/>
      <c r="K236" s="16">
        <v>229</v>
      </c>
      <c r="L236" t="s">
        <v>716</v>
      </c>
      <c r="M236">
        <v>93</v>
      </c>
      <c r="N236">
        <v>0</v>
      </c>
      <c r="O236">
        <v>30</v>
      </c>
      <c r="P236">
        <v>75.61</v>
      </c>
      <c r="Q236">
        <v>88</v>
      </c>
      <c r="R236">
        <v>35</v>
      </c>
      <c r="S236">
        <v>71.540000000000006</v>
      </c>
      <c r="U236" s="16">
        <v>229</v>
      </c>
      <c r="V236" t="s">
        <v>716</v>
      </c>
      <c r="W236">
        <v>0</v>
      </c>
      <c r="X236">
        <v>0</v>
      </c>
      <c r="Y236">
        <v>16320</v>
      </c>
      <c r="Z236">
        <v>0</v>
      </c>
      <c r="AA236">
        <v>0</v>
      </c>
      <c r="AB236">
        <v>16320</v>
      </c>
      <c r="AC236">
        <v>0</v>
      </c>
      <c r="AE236" s="16">
        <f t="shared" si="21"/>
        <v>0</v>
      </c>
      <c r="AF236" s="16">
        <f t="shared" si="22"/>
        <v>1</v>
      </c>
      <c r="AG236" s="16">
        <f t="shared" si="23"/>
        <v>0</v>
      </c>
      <c r="AH236" s="16">
        <f t="shared" si="24"/>
        <v>1</v>
      </c>
      <c r="AI236" s="16">
        <f t="shared" si="25"/>
        <v>0</v>
      </c>
      <c r="AJ236" s="16">
        <f t="shared" si="26"/>
        <v>1</v>
      </c>
      <c r="AK236" t="str">
        <f t="shared" si="27"/>
        <v>yes</v>
      </c>
    </row>
    <row r="237" spans="1:37" x14ac:dyDescent="0.2">
      <c r="A237" s="35"/>
      <c r="B237" s="8"/>
      <c r="C237" s="8"/>
      <c r="D237" s="8"/>
      <c r="E237" s="8"/>
      <c r="F237" s="8"/>
      <c r="G237" s="8"/>
      <c r="H237" s="8"/>
      <c r="I237" s="8"/>
      <c r="K237" s="16">
        <v>230</v>
      </c>
      <c r="L237" t="s">
        <v>717</v>
      </c>
      <c r="M237">
        <v>92</v>
      </c>
      <c r="N237">
        <v>0</v>
      </c>
      <c r="O237">
        <v>31</v>
      </c>
      <c r="P237">
        <v>74.8</v>
      </c>
      <c r="Q237">
        <v>87</v>
      </c>
      <c r="R237">
        <v>36</v>
      </c>
      <c r="S237">
        <v>70.73</v>
      </c>
      <c r="U237" s="16">
        <v>230</v>
      </c>
      <c r="V237" t="s">
        <v>717</v>
      </c>
      <c r="W237">
        <v>0</v>
      </c>
      <c r="X237">
        <v>0</v>
      </c>
      <c r="Y237">
        <v>16320</v>
      </c>
      <c r="Z237">
        <v>0</v>
      </c>
      <c r="AA237">
        <v>0</v>
      </c>
      <c r="AB237">
        <v>16320</v>
      </c>
      <c r="AC237">
        <v>0</v>
      </c>
      <c r="AE237" s="16">
        <f t="shared" si="21"/>
        <v>0</v>
      </c>
      <c r="AF237" s="16">
        <f t="shared" si="22"/>
        <v>1</v>
      </c>
      <c r="AG237" s="16">
        <f t="shared" si="23"/>
        <v>0</v>
      </c>
      <c r="AH237" s="16">
        <f t="shared" si="24"/>
        <v>1</v>
      </c>
      <c r="AI237" s="16">
        <f t="shared" si="25"/>
        <v>0</v>
      </c>
      <c r="AJ237" s="16">
        <f t="shared" si="26"/>
        <v>1</v>
      </c>
      <c r="AK237" t="str">
        <f t="shared" si="27"/>
        <v>yes</v>
      </c>
    </row>
    <row r="238" spans="1:37" x14ac:dyDescent="0.2">
      <c r="A238" s="35"/>
      <c r="B238" s="8"/>
      <c r="C238" s="8"/>
      <c r="D238" s="8"/>
      <c r="E238" s="8"/>
      <c r="F238" s="8"/>
      <c r="G238" s="8"/>
      <c r="H238" s="8"/>
      <c r="I238" s="8"/>
      <c r="K238" s="16">
        <v>231</v>
      </c>
      <c r="L238" t="s">
        <v>718</v>
      </c>
      <c r="M238">
        <v>71</v>
      </c>
      <c r="N238">
        <v>0</v>
      </c>
      <c r="O238">
        <v>52</v>
      </c>
      <c r="P238">
        <v>57.72</v>
      </c>
      <c r="Q238">
        <v>68</v>
      </c>
      <c r="R238">
        <v>55</v>
      </c>
      <c r="S238">
        <v>55.28</v>
      </c>
      <c r="U238" s="16">
        <v>231</v>
      </c>
      <c r="V238" t="s">
        <v>718</v>
      </c>
      <c r="W238">
        <v>0</v>
      </c>
      <c r="X238">
        <v>0</v>
      </c>
      <c r="Y238">
        <v>16320</v>
      </c>
      <c r="Z238">
        <v>0</v>
      </c>
      <c r="AA238">
        <v>0</v>
      </c>
      <c r="AB238">
        <v>16320</v>
      </c>
      <c r="AC238">
        <v>0</v>
      </c>
      <c r="AE238" s="16">
        <f t="shared" si="21"/>
        <v>0</v>
      </c>
      <c r="AF238" s="16">
        <f t="shared" si="22"/>
        <v>1</v>
      </c>
      <c r="AG238" s="16">
        <f t="shared" si="23"/>
        <v>0</v>
      </c>
      <c r="AH238" s="16">
        <f t="shared" si="24"/>
        <v>1</v>
      </c>
      <c r="AI238" s="16">
        <f t="shared" si="25"/>
        <v>0</v>
      </c>
      <c r="AJ238" s="16">
        <f t="shared" si="26"/>
        <v>1</v>
      </c>
      <c r="AK238" t="str">
        <f t="shared" si="27"/>
        <v>yes</v>
      </c>
    </row>
    <row r="239" spans="1:37" x14ac:dyDescent="0.2">
      <c r="A239" s="35"/>
      <c r="B239" s="8"/>
      <c r="C239" s="8"/>
      <c r="D239" s="8"/>
      <c r="E239" s="8"/>
      <c r="F239" s="8"/>
      <c r="G239" s="8"/>
      <c r="H239" s="8"/>
      <c r="I239" s="8"/>
      <c r="K239" s="16">
        <v>232</v>
      </c>
      <c r="L239" t="s">
        <v>719</v>
      </c>
      <c r="M239">
        <v>91</v>
      </c>
      <c r="N239">
        <v>0</v>
      </c>
      <c r="O239">
        <v>32</v>
      </c>
      <c r="P239">
        <v>73.98</v>
      </c>
      <c r="Q239">
        <v>86</v>
      </c>
      <c r="R239">
        <v>37</v>
      </c>
      <c r="S239">
        <v>69.92</v>
      </c>
      <c r="U239" s="16">
        <v>232</v>
      </c>
      <c r="V239" t="s">
        <v>719</v>
      </c>
      <c r="W239">
        <v>0</v>
      </c>
      <c r="X239">
        <v>0</v>
      </c>
      <c r="Y239">
        <v>16320</v>
      </c>
      <c r="Z239">
        <v>0</v>
      </c>
      <c r="AA239">
        <v>0</v>
      </c>
      <c r="AB239">
        <v>16320</v>
      </c>
      <c r="AC239">
        <v>0</v>
      </c>
      <c r="AE239" s="16">
        <f t="shared" si="21"/>
        <v>0</v>
      </c>
      <c r="AF239" s="16">
        <f t="shared" si="22"/>
        <v>1</v>
      </c>
      <c r="AG239" s="16">
        <f t="shared" si="23"/>
        <v>0</v>
      </c>
      <c r="AH239" s="16">
        <f t="shared" si="24"/>
        <v>1</v>
      </c>
      <c r="AI239" s="16">
        <f t="shared" si="25"/>
        <v>0</v>
      </c>
      <c r="AJ239" s="16">
        <f t="shared" si="26"/>
        <v>1</v>
      </c>
      <c r="AK239" t="str">
        <f t="shared" si="27"/>
        <v>yes</v>
      </c>
    </row>
    <row r="240" spans="1:37" x14ac:dyDescent="0.2">
      <c r="A240" s="35"/>
      <c r="B240" s="8"/>
      <c r="C240" s="8"/>
      <c r="D240" s="8"/>
      <c r="E240" s="8"/>
      <c r="F240" s="8"/>
      <c r="G240" s="8"/>
      <c r="H240" s="8"/>
      <c r="I240" s="8"/>
      <c r="K240" s="16">
        <v>233</v>
      </c>
      <c r="L240" t="s">
        <v>720</v>
      </c>
      <c r="M240">
        <v>61</v>
      </c>
      <c r="N240">
        <v>0</v>
      </c>
      <c r="O240">
        <v>62</v>
      </c>
      <c r="P240">
        <v>49.59</v>
      </c>
      <c r="Q240">
        <v>58</v>
      </c>
      <c r="R240">
        <v>65</v>
      </c>
      <c r="S240">
        <v>47.15</v>
      </c>
      <c r="U240" s="16">
        <v>233</v>
      </c>
      <c r="V240" t="s">
        <v>720</v>
      </c>
      <c r="W240">
        <v>0</v>
      </c>
      <c r="X240">
        <v>0</v>
      </c>
      <c r="Y240">
        <v>16320</v>
      </c>
      <c r="Z240">
        <v>0</v>
      </c>
      <c r="AA240">
        <v>0</v>
      </c>
      <c r="AB240">
        <v>16320</v>
      </c>
      <c r="AC240">
        <v>0</v>
      </c>
      <c r="AE240" s="16">
        <f t="shared" si="21"/>
        <v>0</v>
      </c>
      <c r="AF240" s="16">
        <f t="shared" si="22"/>
        <v>1</v>
      </c>
      <c r="AG240" s="16">
        <f t="shared" si="23"/>
        <v>0</v>
      </c>
      <c r="AH240" s="16">
        <f t="shared" si="24"/>
        <v>1</v>
      </c>
      <c r="AI240" s="16">
        <f t="shared" si="25"/>
        <v>0</v>
      </c>
      <c r="AJ240" s="16">
        <f t="shared" si="26"/>
        <v>1</v>
      </c>
      <c r="AK240" t="str">
        <f t="shared" si="27"/>
        <v>yes</v>
      </c>
    </row>
    <row r="241" spans="1:37" x14ac:dyDescent="0.2">
      <c r="A241" s="35"/>
      <c r="B241" s="8"/>
      <c r="C241" s="8"/>
      <c r="D241" s="8"/>
      <c r="E241" s="8"/>
      <c r="F241" s="8"/>
      <c r="G241" s="8"/>
      <c r="H241" s="8"/>
      <c r="I241" s="8"/>
      <c r="K241" s="16">
        <v>234</v>
      </c>
      <c r="L241" t="s">
        <v>721</v>
      </c>
      <c r="M241">
        <v>89</v>
      </c>
      <c r="N241">
        <v>0</v>
      </c>
      <c r="O241">
        <v>34</v>
      </c>
      <c r="P241">
        <v>72.36</v>
      </c>
      <c r="Q241">
        <v>84</v>
      </c>
      <c r="R241">
        <v>39</v>
      </c>
      <c r="S241">
        <v>68.290000000000006</v>
      </c>
      <c r="U241" s="16">
        <v>234</v>
      </c>
      <c r="V241" t="s">
        <v>721</v>
      </c>
      <c r="W241">
        <v>0</v>
      </c>
      <c r="X241">
        <v>0</v>
      </c>
      <c r="Y241">
        <v>16320</v>
      </c>
      <c r="Z241">
        <v>0</v>
      </c>
      <c r="AA241">
        <v>0</v>
      </c>
      <c r="AB241">
        <v>16320</v>
      </c>
      <c r="AC241">
        <v>0</v>
      </c>
      <c r="AE241" s="16">
        <f t="shared" si="21"/>
        <v>0</v>
      </c>
      <c r="AF241" s="16">
        <f t="shared" si="22"/>
        <v>1</v>
      </c>
      <c r="AG241" s="16">
        <f t="shared" si="23"/>
        <v>0</v>
      </c>
      <c r="AH241" s="16">
        <f t="shared" si="24"/>
        <v>1</v>
      </c>
      <c r="AI241" s="16">
        <f t="shared" si="25"/>
        <v>0</v>
      </c>
      <c r="AJ241" s="16">
        <f t="shared" si="26"/>
        <v>1</v>
      </c>
      <c r="AK241" t="str">
        <f t="shared" si="27"/>
        <v>yes</v>
      </c>
    </row>
    <row r="242" spans="1:37" x14ac:dyDescent="0.2">
      <c r="A242" s="35"/>
      <c r="B242" s="8"/>
      <c r="C242" s="8"/>
      <c r="D242" s="8"/>
      <c r="E242" s="8"/>
      <c r="F242" s="8"/>
      <c r="G242" s="8"/>
      <c r="H242" s="8"/>
      <c r="I242" s="8"/>
      <c r="K242" s="16">
        <v>235</v>
      </c>
      <c r="L242" t="s">
        <v>722</v>
      </c>
      <c r="M242">
        <v>90</v>
      </c>
      <c r="N242">
        <v>0</v>
      </c>
      <c r="O242">
        <v>33</v>
      </c>
      <c r="P242">
        <v>73.17</v>
      </c>
      <c r="Q242">
        <v>85</v>
      </c>
      <c r="R242">
        <v>38</v>
      </c>
      <c r="S242">
        <v>69.11</v>
      </c>
      <c r="U242" s="16">
        <v>235</v>
      </c>
      <c r="V242" t="s">
        <v>722</v>
      </c>
      <c r="W242">
        <v>0</v>
      </c>
      <c r="X242">
        <v>0</v>
      </c>
      <c r="Y242">
        <v>16320</v>
      </c>
      <c r="Z242">
        <v>0</v>
      </c>
      <c r="AA242">
        <v>0</v>
      </c>
      <c r="AB242">
        <v>16320</v>
      </c>
      <c r="AC242">
        <v>0</v>
      </c>
      <c r="AE242" s="16">
        <f t="shared" si="21"/>
        <v>0</v>
      </c>
      <c r="AF242" s="16">
        <f t="shared" si="22"/>
        <v>1</v>
      </c>
      <c r="AG242" s="16">
        <f t="shared" si="23"/>
        <v>0</v>
      </c>
      <c r="AH242" s="16">
        <f t="shared" si="24"/>
        <v>1</v>
      </c>
      <c r="AI242" s="16">
        <f t="shared" si="25"/>
        <v>0</v>
      </c>
      <c r="AJ242" s="16">
        <f t="shared" si="26"/>
        <v>1</v>
      </c>
      <c r="AK242" t="str">
        <f t="shared" si="27"/>
        <v>yes</v>
      </c>
    </row>
    <row r="243" spans="1:37" x14ac:dyDescent="0.2">
      <c r="A243" s="35"/>
      <c r="B243" s="8"/>
      <c r="C243" s="8"/>
      <c r="D243" s="8"/>
      <c r="E243" s="8"/>
      <c r="F243" s="8"/>
      <c r="G243" s="8"/>
      <c r="H243" s="8"/>
      <c r="I243" s="8"/>
      <c r="K243" s="16">
        <v>236</v>
      </c>
      <c r="L243" t="s">
        <v>723</v>
      </c>
      <c r="M243">
        <v>91</v>
      </c>
      <c r="N243">
        <v>0</v>
      </c>
      <c r="O243">
        <v>32</v>
      </c>
      <c r="P243">
        <v>73.98</v>
      </c>
      <c r="Q243">
        <v>86</v>
      </c>
      <c r="R243">
        <v>37</v>
      </c>
      <c r="S243">
        <v>69.92</v>
      </c>
      <c r="U243" s="16">
        <v>236</v>
      </c>
      <c r="V243" t="s">
        <v>723</v>
      </c>
      <c r="W243">
        <v>0</v>
      </c>
      <c r="X243">
        <v>0</v>
      </c>
      <c r="Y243">
        <v>16320</v>
      </c>
      <c r="Z243">
        <v>0</v>
      </c>
      <c r="AA243">
        <v>0</v>
      </c>
      <c r="AB243">
        <v>16320</v>
      </c>
      <c r="AC243">
        <v>0</v>
      </c>
      <c r="AE243" s="16">
        <f t="shared" si="21"/>
        <v>0</v>
      </c>
      <c r="AF243" s="16">
        <f t="shared" si="22"/>
        <v>1</v>
      </c>
      <c r="AG243" s="16">
        <f t="shared" si="23"/>
        <v>0</v>
      </c>
      <c r="AH243" s="16">
        <f t="shared" si="24"/>
        <v>1</v>
      </c>
      <c r="AI243" s="16">
        <f t="shared" si="25"/>
        <v>0</v>
      </c>
      <c r="AJ243" s="16">
        <f t="shared" si="26"/>
        <v>1</v>
      </c>
      <c r="AK243" t="str">
        <f t="shared" si="27"/>
        <v>yes</v>
      </c>
    </row>
    <row r="244" spans="1:37" x14ac:dyDescent="0.2">
      <c r="A244" s="35"/>
      <c r="B244" s="35"/>
      <c r="C244" s="26"/>
      <c r="D244" s="26"/>
      <c r="E244" s="26"/>
      <c r="F244" s="26"/>
      <c r="G244" s="26"/>
      <c r="H244" s="26"/>
      <c r="I244" s="26"/>
      <c r="K244" s="16">
        <v>237</v>
      </c>
      <c r="L244" t="s">
        <v>724</v>
      </c>
      <c r="M244">
        <v>91</v>
      </c>
      <c r="N244">
        <v>0</v>
      </c>
      <c r="O244">
        <v>32</v>
      </c>
      <c r="P244">
        <v>73.98</v>
      </c>
      <c r="Q244">
        <v>86</v>
      </c>
      <c r="R244">
        <v>37</v>
      </c>
      <c r="S244">
        <v>69.92</v>
      </c>
      <c r="U244" s="16">
        <v>237</v>
      </c>
      <c r="V244" t="s">
        <v>724</v>
      </c>
      <c r="W244">
        <v>0</v>
      </c>
      <c r="X244">
        <v>0</v>
      </c>
      <c r="Y244">
        <v>16320</v>
      </c>
      <c r="Z244">
        <v>0</v>
      </c>
      <c r="AA244">
        <v>0</v>
      </c>
      <c r="AB244">
        <v>16320</v>
      </c>
      <c r="AC244">
        <v>0</v>
      </c>
      <c r="AE244" s="16">
        <f t="shared" si="21"/>
        <v>0</v>
      </c>
      <c r="AF244" s="16">
        <f t="shared" si="22"/>
        <v>1</v>
      </c>
      <c r="AG244" s="16">
        <f t="shared" si="23"/>
        <v>0</v>
      </c>
      <c r="AH244" s="16">
        <f t="shared" si="24"/>
        <v>1</v>
      </c>
      <c r="AI244" s="16">
        <f t="shared" si="25"/>
        <v>0</v>
      </c>
      <c r="AJ244" s="16">
        <f t="shared" si="26"/>
        <v>1</v>
      </c>
      <c r="AK244" t="str">
        <f t="shared" si="27"/>
        <v>yes</v>
      </c>
    </row>
    <row r="247" spans="1:37" x14ac:dyDescent="0.2">
      <c r="B247" s="52" t="s">
        <v>789</v>
      </c>
      <c r="C247" s="52" t="s">
        <v>790</v>
      </c>
      <c r="D247" s="52" t="s">
        <v>791</v>
      </c>
      <c r="E247" s="52" t="s">
        <v>792</v>
      </c>
      <c r="F247" s="52" t="s">
        <v>793</v>
      </c>
      <c r="G247" s="52" t="s">
        <v>794</v>
      </c>
      <c r="H247" s="52" t="s">
        <v>795</v>
      </c>
      <c r="I247" s="52"/>
      <c r="J247" s="16"/>
      <c r="K247" s="16"/>
      <c r="L247" s="52" t="s">
        <v>789</v>
      </c>
      <c r="M247" s="52" t="s">
        <v>790</v>
      </c>
      <c r="N247" s="52" t="s">
        <v>791</v>
      </c>
      <c r="O247" s="52" t="s">
        <v>792</v>
      </c>
      <c r="P247" s="52" t="s">
        <v>793</v>
      </c>
      <c r="Q247" s="52" t="s">
        <v>794</v>
      </c>
      <c r="R247" s="52" t="s">
        <v>795</v>
      </c>
    </row>
    <row r="248" spans="1:37" x14ac:dyDescent="0.2">
      <c r="A248" s="16">
        <v>1</v>
      </c>
      <c r="B248">
        <v>0</v>
      </c>
      <c r="C248">
        <v>4</v>
      </c>
      <c r="D248">
        <v>1</v>
      </c>
      <c r="E248">
        <v>6</v>
      </c>
      <c r="F248">
        <v>10</v>
      </c>
      <c r="G248">
        <v>28</v>
      </c>
      <c r="H248">
        <v>0</v>
      </c>
      <c r="K248">
        <v>1</v>
      </c>
      <c r="L248">
        <v>0</v>
      </c>
      <c r="M248">
        <v>2</v>
      </c>
      <c r="N248">
        <v>119</v>
      </c>
      <c r="O248">
        <v>3</v>
      </c>
      <c r="P248">
        <v>0</v>
      </c>
      <c r="Q248">
        <v>0</v>
      </c>
      <c r="R248">
        <v>0</v>
      </c>
    </row>
    <row r="249" spans="1:37" x14ac:dyDescent="0.2">
      <c r="A249" s="16">
        <v>2</v>
      </c>
      <c r="B249">
        <v>0</v>
      </c>
      <c r="C249">
        <v>3</v>
      </c>
      <c r="D249">
        <v>2</v>
      </c>
      <c r="E249">
        <v>22</v>
      </c>
      <c r="F249">
        <v>31</v>
      </c>
      <c r="G249">
        <v>0</v>
      </c>
      <c r="H249">
        <v>0</v>
      </c>
      <c r="K249">
        <v>2</v>
      </c>
      <c r="L249">
        <v>0</v>
      </c>
      <c r="M249">
        <v>3</v>
      </c>
      <c r="N249">
        <v>66</v>
      </c>
      <c r="O249">
        <v>31</v>
      </c>
      <c r="P249">
        <v>3</v>
      </c>
      <c r="Q249">
        <v>0</v>
      </c>
      <c r="R249">
        <v>0</v>
      </c>
    </row>
    <row r="250" spans="1:37" x14ac:dyDescent="0.2">
      <c r="A250" s="16">
        <v>3</v>
      </c>
      <c r="B250">
        <v>0</v>
      </c>
      <c r="C250">
        <v>2</v>
      </c>
      <c r="D250">
        <v>21</v>
      </c>
      <c r="E250">
        <v>25</v>
      </c>
      <c r="F250">
        <v>0</v>
      </c>
      <c r="G250">
        <v>0</v>
      </c>
      <c r="H250">
        <v>0</v>
      </c>
      <c r="K250">
        <v>3</v>
      </c>
      <c r="L250">
        <v>0</v>
      </c>
      <c r="M250">
        <v>2</v>
      </c>
      <c r="N250">
        <v>99</v>
      </c>
      <c r="O250">
        <v>2</v>
      </c>
      <c r="P250">
        <v>0</v>
      </c>
      <c r="Q250">
        <v>0</v>
      </c>
      <c r="R250">
        <v>0</v>
      </c>
    </row>
    <row r="251" spans="1:37" x14ac:dyDescent="0.2">
      <c r="A251" s="16">
        <v>4</v>
      </c>
      <c r="B251">
        <v>0</v>
      </c>
      <c r="C251">
        <v>4</v>
      </c>
      <c r="D251">
        <v>19</v>
      </c>
      <c r="E251">
        <v>4</v>
      </c>
      <c r="F251">
        <v>14</v>
      </c>
      <c r="G251">
        <v>1</v>
      </c>
      <c r="H251">
        <v>0</v>
      </c>
      <c r="K251">
        <v>4</v>
      </c>
      <c r="L251">
        <v>0</v>
      </c>
      <c r="M251">
        <v>4</v>
      </c>
      <c r="N251">
        <v>74</v>
      </c>
      <c r="O251">
        <v>6</v>
      </c>
      <c r="P251">
        <v>12</v>
      </c>
      <c r="Q251">
        <v>2</v>
      </c>
      <c r="R251">
        <v>0</v>
      </c>
    </row>
    <row r="252" spans="1:37" x14ac:dyDescent="0.2">
      <c r="A252" s="16">
        <v>5</v>
      </c>
      <c r="B252">
        <v>0</v>
      </c>
      <c r="C252">
        <v>2</v>
      </c>
      <c r="D252">
        <v>37</v>
      </c>
      <c r="E252">
        <v>2</v>
      </c>
      <c r="F252">
        <v>0</v>
      </c>
      <c r="G252">
        <v>0</v>
      </c>
      <c r="H252">
        <v>0</v>
      </c>
      <c r="K252">
        <v>5</v>
      </c>
      <c r="L252">
        <v>0</v>
      </c>
      <c r="M252">
        <v>3</v>
      </c>
      <c r="N252">
        <v>5</v>
      </c>
      <c r="O252">
        <v>24</v>
      </c>
      <c r="P252">
        <v>1</v>
      </c>
      <c r="Q252">
        <v>0</v>
      </c>
      <c r="R252">
        <v>0</v>
      </c>
    </row>
    <row r="253" spans="1:37" x14ac:dyDescent="0.2">
      <c r="A253" s="16">
        <v>6</v>
      </c>
      <c r="B253">
        <v>1</v>
      </c>
      <c r="C253">
        <v>2</v>
      </c>
      <c r="D253">
        <v>1</v>
      </c>
      <c r="E253">
        <v>36</v>
      </c>
      <c r="F253">
        <v>0</v>
      </c>
      <c r="G253">
        <v>0</v>
      </c>
      <c r="H253">
        <v>0</v>
      </c>
      <c r="K253">
        <v>6</v>
      </c>
      <c r="L253">
        <v>0</v>
      </c>
      <c r="M253">
        <v>2</v>
      </c>
      <c r="N253">
        <v>95</v>
      </c>
      <c r="O253">
        <v>3</v>
      </c>
      <c r="P253">
        <v>0</v>
      </c>
      <c r="Q253">
        <v>0</v>
      </c>
      <c r="R253">
        <v>0</v>
      </c>
    </row>
    <row r="254" spans="1:37" x14ac:dyDescent="0.2">
      <c r="A254" s="16">
        <v>7</v>
      </c>
      <c r="B254">
        <v>1</v>
      </c>
      <c r="C254">
        <v>2</v>
      </c>
      <c r="D254">
        <v>36</v>
      </c>
      <c r="E254">
        <v>1</v>
      </c>
      <c r="F254">
        <v>0</v>
      </c>
      <c r="G254">
        <v>0</v>
      </c>
      <c r="H254">
        <v>0</v>
      </c>
      <c r="K254">
        <v>7</v>
      </c>
      <c r="L254">
        <v>0</v>
      </c>
      <c r="M254">
        <v>2</v>
      </c>
      <c r="N254">
        <v>106</v>
      </c>
      <c r="O254">
        <v>4</v>
      </c>
      <c r="P254">
        <v>0</v>
      </c>
      <c r="Q254">
        <v>0</v>
      </c>
      <c r="R254">
        <v>0</v>
      </c>
    </row>
    <row r="255" spans="1:37" x14ac:dyDescent="0.2">
      <c r="A255" s="16">
        <v>8</v>
      </c>
      <c r="B255">
        <v>0</v>
      </c>
      <c r="C255">
        <v>2</v>
      </c>
      <c r="D255">
        <v>10</v>
      </c>
      <c r="E255">
        <v>29</v>
      </c>
      <c r="F255">
        <v>0</v>
      </c>
      <c r="G255">
        <v>0</v>
      </c>
      <c r="H255">
        <v>0</v>
      </c>
      <c r="K255">
        <v>8</v>
      </c>
      <c r="L255">
        <v>0</v>
      </c>
      <c r="M255">
        <v>2</v>
      </c>
      <c r="N255">
        <v>44</v>
      </c>
      <c r="O255">
        <v>40</v>
      </c>
      <c r="P255">
        <v>0</v>
      </c>
      <c r="Q255">
        <v>0</v>
      </c>
      <c r="R255">
        <v>0</v>
      </c>
    </row>
    <row r="256" spans="1:37" x14ac:dyDescent="0.2">
      <c r="A256" s="16">
        <v>9</v>
      </c>
      <c r="B256">
        <v>0</v>
      </c>
      <c r="C256">
        <v>2</v>
      </c>
      <c r="D256">
        <v>2</v>
      </c>
      <c r="E256">
        <v>37</v>
      </c>
      <c r="F256">
        <v>0</v>
      </c>
      <c r="G256">
        <v>0</v>
      </c>
      <c r="H256">
        <v>0</v>
      </c>
      <c r="K256">
        <v>9</v>
      </c>
      <c r="L256">
        <v>0</v>
      </c>
      <c r="M256">
        <v>4</v>
      </c>
      <c r="N256">
        <v>63</v>
      </c>
      <c r="O256">
        <v>15</v>
      </c>
      <c r="P256">
        <v>5</v>
      </c>
      <c r="Q256">
        <v>47</v>
      </c>
      <c r="R256">
        <v>0</v>
      </c>
    </row>
    <row r="257" spans="1:18" x14ac:dyDescent="0.2">
      <c r="A257" s="16">
        <v>10</v>
      </c>
      <c r="B257">
        <v>0</v>
      </c>
      <c r="C257">
        <v>2</v>
      </c>
      <c r="D257">
        <v>8</v>
      </c>
      <c r="E257">
        <v>30</v>
      </c>
      <c r="F257">
        <v>0</v>
      </c>
      <c r="G257">
        <v>0</v>
      </c>
      <c r="H257">
        <v>0</v>
      </c>
      <c r="K257">
        <v>10</v>
      </c>
      <c r="L257">
        <v>0</v>
      </c>
      <c r="M257">
        <v>3</v>
      </c>
      <c r="N257">
        <v>88</v>
      </c>
      <c r="O257">
        <v>39</v>
      </c>
      <c r="P257">
        <v>2</v>
      </c>
      <c r="Q257">
        <v>0</v>
      </c>
      <c r="R257">
        <v>0</v>
      </c>
    </row>
    <row r="258" spans="1:18" x14ac:dyDescent="0.2">
      <c r="A258" s="16">
        <v>11</v>
      </c>
      <c r="B258">
        <v>0</v>
      </c>
      <c r="C258">
        <v>2</v>
      </c>
      <c r="D258">
        <v>6</v>
      </c>
      <c r="E258">
        <v>17</v>
      </c>
      <c r="F258">
        <v>0</v>
      </c>
      <c r="G258">
        <v>0</v>
      </c>
      <c r="H258">
        <v>0</v>
      </c>
      <c r="K258">
        <v>11</v>
      </c>
      <c r="L258">
        <v>0</v>
      </c>
      <c r="M258">
        <v>3</v>
      </c>
      <c r="N258">
        <v>3</v>
      </c>
      <c r="O258">
        <v>33</v>
      </c>
      <c r="P258">
        <v>2</v>
      </c>
      <c r="Q258">
        <v>0</v>
      </c>
      <c r="R258">
        <v>0</v>
      </c>
    </row>
    <row r="259" spans="1:18" x14ac:dyDescent="0.2">
      <c r="A259" s="16">
        <v>12</v>
      </c>
      <c r="B259">
        <v>0</v>
      </c>
      <c r="C259">
        <v>2</v>
      </c>
      <c r="D259">
        <v>15</v>
      </c>
      <c r="E259">
        <v>11</v>
      </c>
      <c r="F259">
        <v>0</v>
      </c>
      <c r="G259">
        <v>0</v>
      </c>
      <c r="H259">
        <v>0</v>
      </c>
      <c r="K259">
        <v>12</v>
      </c>
      <c r="L259">
        <v>0</v>
      </c>
      <c r="M259">
        <v>3</v>
      </c>
      <c r="N259">
        <v>106</v>
      </c>
      <c r="O259">
        <v>19</v>
      </c>
      <c r="P259">
        <v>3</v>
      </c>
      <c r="Q259">
        <v>0</v>
      </c>
      <c r="R259">
        <v>0</v>
      </c>
    </row>
    <row r="260" spans="1:18" x14ac:dyDescent="0.2">
      <c r="A260" s="16">
        <v>13</v>
      </c>
      <c r="B260">
        <v>0</v>
      </c>
      <c r="C260">
        <v>2</v>
      </c>
      <c r="D260">
        <v>8</v>
      </c>
      <c r="E260">
        <v>31</v>
      </c>
      <c r="F260">
        <v>0</v>
      </c>
      <c r="G260">
        <v>0</v>
      </c>
      <c r="H260">
        <v>0</v>
      </c>
      <c r="K260">
        <v>13</v>
      </c>
      <c r="L260">
        <v>0</v>
      </c>
      <c r="M260">
        <v>2</v>
      </c>
      <c r="N260">
        <v>85</v>
      </c>
      <c r="O260">
        <v>45</v>
      </c>
      <c r="P260">
        <v>0</v>
      </c>
      <c r="Q260">
        <v>0</v>
      </c>
      <c r="R260">
        <v>0</v>
      </c>
    </row>
    <row r="261" spans="1:18" x14ac:dyDescent="0.2">
      <c r="A261" s="16">
        <v>14</v>
      </c>
      <c r="B261">
        <v>1</v>
      </c>
      <c r="C261">
        <v>2</v>
      </c>
      <c r="D261">
        <v>37</v>
      </c>
      <c r="E261">
        <v>1</v>
      </c>
      <c r="F261">
        <v>0</v>
      </c>
      <c r="G261">
        <v>0</v>
      </c>
      <c r="H261">
        <v>0</v>
      </c>
      <c r="K261">
        <v>14</v>
      </c>
      <c r="L261">
        <v>0</v>
      </c>
      <c r="M261">
        <v>2</v>
      </c>
      <c r="N261">
        <v>123</v>
      </c>
      <c r="O261">
        <v>8</v>
      </c>
      <c r="P261">
        <v>0</v>
      </c>
      <c r="Q261">
        <v>0</v>
      </c>
      <c r="R261">
        <v>0</v>
      </c>
    </row>
    <row r="262" spans="1:18" x14ac:dyDescent="0.2">
      <c r="A262" s="16">
        <v>15</v>
      </c>
      <c r="B262">
        <v>1</v>
      </c>
      <c r="C262">
        <v>2</v>
      </c>
      <c r="D262">
        <v>1</v>
      </c>
      <c r="E262">
        <v>37</v>
      </c>
      <c r="F262">
        <v>0</v>
      </c>
      <c r="G262">
        <v>0</v>
      </c>
      <c r="H262">
        <v>0</v>
      </c>
      <c r="K262">
        <v>15</v>
      </c>
      <c r="L262">
        <v>0</v>
      </c>
      <c r="M262">
        <v>2</v>
      </c>
      <c r="N262">
        <v>109</v>
      </c>
      <c r="O262">
        <v>9</v>
      </c>
      <c r="P262">
        <v>0</v>
      </c>
      <c r="Q262">
        <v>0</v>
      </c>
      <c r="R262">
        <v>0</v>
      </c>
    </row>
    <row r="263" spans="1:18" x14ac:dyDescent="0.2">
      <c r="A263" s="16">
        <v>16</v>
      </c>
      <c r="B263">
        <v>0</v>
      </c>
      <c r="C263">
        <v>2</v>
      </c>
      <c r="D263">
        <v>34</v>
      </c>
      <c r="E263">
        <v>12</v>
      </c>
      <c r="F263">
        <v>0</v>
      </c>
      <c r="G263">
        <v>0</v>
      </c>
      <c r="H263">
        <v>0</v>
      </c>
      <c r="K263">
        <v>16</v>
      </c>
      <c r="L263">
        <v>0</v>
      </c>
      <c r="M263">
        <v>3</v>
      </c>
      <c r="N263">
        <v>38</v>
      </c>
      <c r="O263">
        <v>83</v>
      </c>
      <c r="P263">
        <v>5</v>
      </c>
      <c r="Q263">
        <v>0</v>
      </c>
      <c r="R263">
        <v>0</v>
      </c>
    </row>
    <row r="264" spans="1:18" x14ac:dyDescent="0.2">
      <c r="A264" s="16">
        <v>17</v>
      </c>
      <c r="B264">
        <v>0</v>
      </c>
      <c r="C264">
        <v>2</v>
      </c>
      <c r="D264">
        <v>27</v>
      </c>
      <c r="E264">
        <v>19</v>
      </c>
      <c r="F264">
        <v>0</v>
      </c>
      <c r="G264">
        <v>0</v>
      </c>
      <c r="H264">
        <v>0</v>
      </c>
      <c r="K264">
        <v>17</v>
      </c>
      <c r="L264">
        <v>0</v>
      </c>
      <c r="M264">
        <v>2</v>
      </c>
      <c r="N264">
        <v>117</v>
      </c>
      <c r="O264">
        <v>12</v>
      </c>
      <c r="P264">
        <v>0</v>
      </c>
      <c r="Q264">
        <v>0</v>
      </c>
      <c r="R264">
        <v>0</v>
      </c>
    </row>
    <row r="265" spans="1:18" x14ac:dyDescent="0.2">
      <c r="A265" s="16">
        <v>18</v>
      </c>
      <c r="B265">
        <v>0</v>
      </c>
      <c r="C265">
        <v>2</v>
      </c>
      <c r="D265">
        <v>33</v>
      </c>
      <c r="E265">
        <v>3</v>
      </c>
      <c r="F265">
        <v>0</v>
      </c>
      <c r="G265">
        <v>0</v>
      </c>
      <c r="H265">
        <v>0</v>
      </c>
      <c r="K265">
        <v>18</v>
      </c>
      <c r="L265">
        <v>0</v>
      </c>
      <c r="M265">
        <v>2</v>
      </c>
      <c r="N265">
        <v>23</v>
      </c>
      <c r="O265">
        <v>15</v>
      </c>
      <c r="P265">
        <v>0</v>
      </c>
      <c r="Q265">
        <v>0</v>
      </c>
      <c r="R265">
        <v>0</v>
      </c>
    </row>
    <row r="266" spans="1:18" x14ac:dyDescent="0.2">
      <c r="A266" s="16">
        <v>19</v>
      </c>
      <c r="B266">
        <v>0</v>
      </c>
      <c r="C266">
        <v>2</v>
      </c>
      <c r="D266">
        <v>3</v>
      </c>
      <c r="E266">
        <v>36</v>
      </c>
      <c r="F266">
        <v>0</v>
      </c>
      <c r="G266">
        <v>0</v>
      </c>
      <c r="H266">
        <v>0</v>
      </c>
      <c r="K266">
        <v>19</v>
      </c>
      <c r="L266">
        <v>0</v>
      </c>
      <c r="M266">
        <v>2</v>
      </c>
      <c r="N266">
        <v>36</v>
      </c>
      <c r="O266">
        <v>2</v>
      </c>
      <c r="P266">
        <v>0</v>
      </c>
      <c r="Q266">
        <v>0</v>
      </c>
      <c r="R266">
        <v>0</v>
      </c>
    </row>
    <row r="267" spans="1:18" x14ac:dyDescent="0.2">
      <c r="A267" s="16">
        <v>20</v>
      </c>
      <c r="B267">
        <v>0</v>
      </c>
      <c r="C267">
        <v>2</v>
      </c>
      <c r="D267">
        <v>35</v>
      </c>
      <c r="E267">
        <v>6</v>
      </c>
      <c r="F267">
        <v>0</v>
      </c>
      <c r="G267">
        <v>0</v>
      </c>
      <c r="H267">
        <v>0</v>
      </c>
      <c r="K267">
        <v>20</v>
      </c>
      <c r="L267">
        <v>0</v>
      </c>
      <c r="M267">
        <v>4</v>
      </c>
      <c r="N267">
        <v>110</v>
      </c>
      <c r="O267">
        <v>4</v>
      </c>
      <c r="P267">
        <v>6</v>
      </c>
      <c r="Q267">
        <v>4</v>
      </c>
      <c r="R267">
        <v>0</v>
      </c>
    </row>
    <row r="268" spans="1:18" x14ac:dyDescent="0.2">
      <c r="A268" s="16">
        <v>21</v>
      </c>
      <c r="B268">
        <v>0</v>
      </c>
      <c r="C268">
        <v>3</v>
      </c>
      <c r="D268">
        <v>18</v>
      </c>
      <c r="E268">
        <v>2</v>
      </c>
      <c r="F268">
        <v>26</v>
      </c>
      <c r="G268">
        <v>0</v>
      </c>
      <c r="H268">
        <v>0</v>
      </c>
      <c r="K268">
        <v>21</v>
      </c>
      <c r="L268">
        <v>0</v>
      </c>
      <c r="M268">
        <v>2</v>
      </c>
      <c r="N268">
        <v>58</v>
      </c>
      <c r="O268">
        <v>2</v>
      </c>
      <c r="P268">
        <v>0</v>
      </c>
      <c r="Q268">
        <v>0</v>
      </c>
      <c r="R268">
        <v>0</v>
      </c>
    </row>
    <row r="269" spans="1:18" x14ac:dyDescent="0.2">
      <c r="A269" s="16">
        <v>22</v>
      </c>
      <c r="B269">
        <v>0</v>
      </c>
      <c r="C269">
        <v>3</v>
      </c>
      <c r="D269">
        <v>6</v>
      </c>
      <c r="E269">
        <v>30</v>
      </c>
      <c r="F269">
        <v>3</v>
      </c>
      <c r="G269">
        <v>0</v>
      </c>
      <c r="H269">
        <v>0</v>
      </c>
      <c r="K269">
        <v>22</v>
      </c>
      <c r="L269">
        <v>0</v>
      </c>
      <c r="M269">
        <v>3</v>
      </c>
      <c r="N269">
        <v>56</v>
      </c>
      <c r="O269">
        <v>3</v>
      </c>
      <c r="P269">
        <v>1</v>
      </c>
      <c r="Q269">
        <v>0</v>
      </c>
      <c r="R269">
        <v>0</v>
      </c>
    </row>
    <row r="270" spans="1:18" x14ac:dyDescent="0.2">
      <c r="A270" s="16">
        <v>23</v>
      </c>
      <c r="B270">
        <v>0</v>
      </c>
      <c r="C270">
        <v>2</v>
      </c>
      <c r="D270">
        <v>34</v>
      </c>
      <c r="E270">
        <v>9</v>
      </c>
      <c r="F270">
        <v>0</v>
      </c>
      <c r="G270">
        <v>0</v>
      </c>
      <c r="H270">
        <v>0</v>
      </c>
      <c r="K270">
        <v>23</v>
      </c>
      <c r="L270">
        <v>0</v>
      </c>
      <c r="M270">
        <v>3</v>
      </c>
      <c r="N270">
        <v>15</v>
      </c>
      <c r="O270">
        <v>20</v>
      </c>
      <c r="P270">
        <v>3</v>
      </c>
      <c r="Q270">
        <v>0</v>
      </c>
      <c r="R270">
        <v>0</v>
      </c>
    </row>
    <row r="271" spans="1:18" x14ac:dyDescent="0.2">
      <c r="A271" s="16">
        <v>24</v>
      </c>
      <c r="B271">
        <v>0</v>
      </c>
      <c r="C271">
        <v>3</v>
      </c>
      <c r="D271">
        <v>11</v>
      </c>
      <c r="E271">
        <v>27</v>
      </c>
      <c r="F271">
        <v>16</v>
      </c>
      <c r="G271">
        <v>0</v>
      </c>
      <c r="H271">
        <v>0</v>
      </c>
      <c r="K271">
        <v>24</v>
      </c>
      <c r="L271">
        <v>0</v>
      </c>
      <c r="M271">
        <v>2</v>
      </c>
      <c r="N271">
        <v>28</v>
      </c>
      <c r="O271">
        <v>9</v>
      </c>
      <c r="P271">
        <v>0</v>
      </c>
      <c r="Q271">
        <v>0</v>
      </c>
      <c r="R271">
        <v>0</v>
      </c>
    </row>
    <row r="272" spans="1:18" x14ac:dyDescent="0.2">
      <c r="A272" s="16">
        <v>25</v>
      </c>
      <c r="B272">
        <v>0</v>
      </c>
      <c r="C272">
        <v>2</v>
      </c>
      <c r="D272">
        <v>30</v>
      </c>
      <c r="E272">
        <v>7</v>
      </c>
      <c r="F272">
        <v>0</v>
      </c>
      <c r="G272">
        <v>0</v>
      </c>
      <c r="H272">
        <v>0</v>
      </c>
      <c r="K272">
        <v>25</v>
      </c>
      <c r="L272">
        <v>0</v>
      </c>
      <c r="M272">
        <v>2</v>
      </c>
      <c r="N272">
        <v>19</v>
      </c>
      <c r="O272">
        <v>42</v>
      </c>
      <c r="P272">
        <v>0</v>
      </c>
      <c r="Q272">
        <v>0</v>
      </c>
      <c r="R272">
        <v>0</v>
      </c>
    </row>
    <row r="273" spans="1:18" x14ac:dyDescent="0.2">
      <c r="A273" s="16">
        <v>26</v>
      </c>
      <c r="B273">
        <v>0</v>
      </c>
      <c r="C273">
        <v>2</v>
      </c>
      <c r="D273">
        <v>35</v>
      </c>
      <c r="E273">
        <v>4</v>
      </c>
      <c r="F273">
        <v>0</v>
      </c>
      <c r="G273">
        <v>0</v>
      </c>
      <c r="H273">
        <v>0</v>
      </c>
      <c r="K273">
        <v>26</v>
      </c>
      <c r="L273">
        <v>0</v>
      </c>
      <c r="M273">
        <v>4</v>
      </c>
      <c r="N273">
        <v>67</v>
      </c>
      <c r="O273">
        <v>9</v>
      </c>
      <c r="P273">
        <v>34</v>
      </c>
      <c r="Q273">
        <v>12</v>
      </c>
      <c r="R273">
        <v>0</v>
      </c>
    </row>
    <row r="274" spans="1:18" x14ac:dyDescent="0.2">
      <c r="A274" s="16">
        <v>27</v>
      </c>
      <c r="B274">
        <v>0</v>
      </c>
      <c r="C274">
        <v>3</v>
      </c>
      <c r="D274">
        <v>9</v>
      </c>
      <c r="E274">
        <v>19</v>
      </c>
      <c r="F274">
        <v>6</v>
      </c>
      <c r="G274">
        <v>0</v>
      </c>
      <c r="H274">
        <v>0</v>
      </c>
      <c r="K274">
        <v>27</v>
      </c>
      <c r="L274">
        <v>0</v>
      </c>
      <c r="M274">
        <v>2</v>
      </c>
      <c r="N274">
        <v>106</v>
      </c>
      <c r="O274">
        <v>17</v>
      </c>
      <c r="P274">
        <v>0</v>
      </c>
      <c r="Q274">
        <v>0</v>
      </c>
      <c r="R274">
        <v>0</v>
      </c>
    </row>
    <row r="275" spans="1:18" x14ac:dyDescent="0.2">
      <c r="A275" s="16">
        <v>28</v>
      </c>
      <c r="B275">
        <v>0</v>
      </c>
      <c r="C275">
        <v>2</v>
      </c>
      <c r="D275">
        <v>26</v>
      </c>
      <c r="E275">
        <v>12</v>
      </c>
      <c r="F275">
        <v>0</v>
      </c>
      <c r="G275">
        <v>0</v>
      </c>
      <c r="H275">
        <v>0</v>
      </c>
      <c r="K275">
        <v>28</v>
      </c>
      <c r="L275">
        <v>0</v>
      </c>
      <c r="M275">
        <v>5</v>
      </c>
      <c r="N275">
        <v>83</v>
      </c>
      <c r="O275">
        <v>8</v>
      </c>
      <c r="P275">
        <v>4</v>
      </c>
      <c r="Q275">
        <v>9</v>
      </c>
      <c r="R275">
        <v>17</v>
      </c>
    </row>
    <row r="276" spans="1:18" x14ac:dyDescent="0.2">
      <c r="A276" s="16">
        <v>29</v>
      </c>
      <c r="B276">
        <v>0</v>
      </c>
      <c r="C276">
        <v>3</v>
      </c>
      <c r="D276">
        <v>4</v>
      </c>
      <c r="E276">
        <v>32</v>
      </c>
      <c r="F276">
        <v>13</v>
      </c>
      <c r="G276">
        <v>0</v>
      </c>
      <c r="H276">
        <v>0</v>
      </c>
      <c r="K276">
        <v>29</v>
      </c>
      <c r="L276">
        <v>0</v>
      </c>
      <c r="M276">
        <v>3</v>
      </c>
      <c r="N276">
        <v>113</v>
      </c>
      <c r="O276">
        <v>4</v>
      </c>
      <c r="P276">
        <v>6</v>
      </c>
      <c r="Q276">
        <v>0</v>
      </c>
      <c r="R276">
        <v>0</v>
      </c>
    </row>
    <row r="277" spans="1:18" x14ac:dyDescent="0.2">
      <c r="A277" s="16">
        <v>30</v>
      </c>
      <c r="B277">
        <v>0</v>
      </c>
      <c r="C277">
        <v>2</v>
      </c>
      <c r="D277">
        <v>28</v>
      </c>
      <c r="E277">
        <v>2</v>
      </c>
      <c r="F277">
        <v>0</v>
      </c>
      <c r="G277">
        <v>0</v>
      </c>
      <c r="H277">
        <v>0</v>
      </c>
      <c r="K277">
        <v>30</v>
      </c>
      <c r="L277">
        <v>0</v>
      </c>
      <c r="M277">
        <v>2</v>
      </c>
      <c r="N277">
        <v>9</v>
      </c>
      <c r="O277">
        <v>29</v>
      </c>
      <c r="P277">
        <v>0</v>
      </c>
      <c r="Q277">
        <v>0</v>
      </c>
      <c r="R277">
        <v>0</v>
      </c>
    </row>
    <row r="278" spans="1:18" x14ac:dyDescent="0.2">
      <c r="A278" s="16">
        <v>31</v>
      </c>
      <c r="B278">
        <v>1</v>
      </c>
      <c r="C278">
        <v>1</v>
      </c>
      <c r="D278">
        <v>35</v>
      </c>
      <c r="E278">
        <v>0</v>
      </c>
      <c r="F278">
        <v>0</v>
      </c>
      <c r="G278">
        <v>0</v>
      </c>
      <c r="H278">
        <v>0</v>
      </c>
      <c r="K278">
        <v>31</v>
      </c>
      <c r="L278">
        <v>0</v>
      </c>
      <c r="M278">
        <v>3</v>
      </c>
      <c r="N278">
        <v>1</v>
      </c>
      <c r="O278">
        <v>117</v>
      </c>
      <c r="P278">
        <v>3</v>
      </c>
      <c r="Q278">
        <v>0</v>
      </c>
      <c r="R278">
        <v>0</v>
      </c>
    </row>
    <row r="279" spans="1:18" x14ac:dyDescent="0.2">
      <c r="A279" s="16">
        <v>32</v>
      </c>
      <c r="B279">
        <v>0</v>
      </c>
      <c r="C279">
        <v>2</v>
      </c>
      <c r="D279">
        <v>33</v>
      </c>
      <c r="E279">
        <v>10</v>
      </c>
      <c r="F279">
        <v>0</v>
      </c>
      <c r="G279">
        <v>0</v>
      </c>
      <c r="H279">
        <v>0</v>
      </c>
      <c r="K279">
        <v>32</v>
      </c>
      <c r="L279">
        <v>0</v>
      </c>
      <c r="M279">
        <v>2</v>
      </c>
      <c r="N279">
        <v>84</v>
      </c>
      <c r="O279">
        <v>38</v>
      </c>
      <c r="P279">
        <v>0</v>
      </c>
      <c r="Q279">
        <v>0</v>
      </c>
      <c r="R279">
        <v>0</v>
      </c>
    </row>
    <row r="280" spans="1:18" x14ac:dyDescent="0.2">
      <c r="A280" s="16">
        <v>33</v>
      </c>
      <c r="B280">
        <v>0</v>
      </c>
      <c r="C280">
        <v>2</v>
      </c>
      <c r="D280">
        <v>34</v>
      </c>
      <c r="E280">
        <v>9</v>
      </c>
      <c r="F280">
        <v>0</v>
      </c>
      <c r="G280">
        <v>0</v>
      </c>
      <c r="H280">
        <v>0</v>
      </c>
      <c r="K280">
        <v>33</v>
      </c>
      <c r="L280">
        <v>0</v>
      </c>
      <c r="M280">
        <v>3</v>
      </c>
      <c r="N280">
        <v>74</v>
      </c>
      <c r="O280">
        <v>33</v>
      </c>
      <c r="P280">
        <v>15</v>
      </c>
      <c r="Q280">
        <v>0</v>
      </c>
      <c r="R280">
        <v>0</v>
      </c>
    </row>
    <row r="281" spans="1:18" x14ac:dyDescent="0.2">
      <c r="A281" s="16">
        <v>34</v>
      </c>
      <c r="B281">
        <v>0</v>
      </c>
      <c r="C281">
        <v>2</v>
      </c>
      <c r="D281">
        <v>27</v>
      </c>
      <c r="E281">
        <v>3</v>
      </c>
      <c r="F281">
        <v>0</v>
      </c>
      <c r="G281">
        <v>0</v>
      </c>
      <c r="H281">
        <v>0</v>
      </c>
      <c r="K281">
        <v>34</v>
      </c>
      <c r="L281">
        <v>0</v>
      </c>
      <c r="M281">
        <v>2</v>
      </c>
      <c r="N281">
        <v>80</v>
      </c>
      <c r="O281">
        <v>4</v>
      </c>
      <c r="P281">
        <v>0</v>
      </c>
      <c r="Q281">
        <v>0</v>
      </c>
      <c r="R281">
        <v>0</v>
      </c>
    </row>
    <row r="282" spans="1:18" x14ac:dyDescent="0.2">
      <c r="A282" s="16">
        <v>35</v>
      </c>
      <c r="B282">
        <v>0</v>
      </c>
      <c r="C282">
        <v>2</v>
      </c>
      <c r="D282">
        <v>31</v>
      </c>
      <c r="E282">
        <v>7</v>
      </c>
      <c r="F282">
        <v>0</v>
      </c>
      <c r="G282">
        <v>0</v>
      </c>
      <c r="H282">
        <v>0</v>
      </c>
      <c r="K282">
        <v>35</v>
      </c>
      <c r="L282">
        <v>0</v>
      </c>
      <c r="M282">
        <v>2</v>
      </c>
      <c r="N282">
        <v>103</v>
      </c>
      <c r="O282">
        <v>18</v>
      </c>
      <c r="P282">
        <v>0</v>
      </c>
      <c r="Q282">
        <v>0</v>
      </c>
      <c r="R282">
        <v>0</v>
      </c>
    </row>
    <row r="283" spans="1:18" x14ac:dyDescent="0.2">
      <c r="A283" s="16">
        <v>36</v>
      </c>
      <c r="B283">
        <v>0</v>
      </c>
      <c r="C283">
        <v>2</v>
      </c>
      <c r="D283">
        <v>30</v>
      </c>
      <c r="E283">
        <v>11</v>
      </c>
      <c r="F283">
        <v>0</v>
      </c>
      <c r="G283">
        <v>0</v>
      </c>
      <c r="H283">
        <v>0</v>
      </c>
      <c r="K283">
        <v>36</v>
      </c>
      <c r="L283">
        <v>0</v>
      </c>
      <c r="M283">
        <v>3</v>
      </c>
      <c r="N283">
        <v>59</v>
      </c>
      <c r="O283">
        <v>52</v>
      </c>
      <c r="P283">
        <v>10</v>
      </c>
      <c r="Q283">
        <v>0</v>
      </c>
      <c r="R283">
        <v>0</v>
      </c>
    </row>
    <row r="284" spans="1:18" x14ac:dyDescent="0.2">
      <c r="A284" s="16">
        <v>37</v>
      </c>
      <c r="B284">
        <v>0</v>
      </c>
      <c r="C284">
        <v>3</v>
      </c>
      <c r="D284">
        <v>28</v>
      </c>
      <c r="E284">
        <v>16</v>
      </c>
      <c r="F284">
        <v>3</v>
      </c>
      <c r="G284">
        <v>0</v>
      </c>
      <c r="H284">
        <v>0</v>
      </c>
      <c r="K284">
        <v>37</v>
      </c>
      <c r="L284">
        <v>0</v>
      </c>
      <c r="M284">
        <v>3</v>
      </c>
      <c r="N284">
        <v>17</v>
      </c>
      <c r="O284">
        <v>79</v>
      </c>
      <c r="P284">
        <v>2</v>
      </c>
      <c r="Q284">
        <v>0</v>
      </c>
      <c r="R284">
        <v>0</v>
      </c>
    </row>
    <row r="285" spans="1:18" x14ac:dyDescent="0.2">
      <c r="A285" s="16">
        <v>38</v>
      </c>
      <c r="B285">
        <v>0</v>
      </c>
      <c r="C285">
        <v>2</v>
      </c>
      <c r="D285">
        <v>12</v>
      </c>
      <c r="E285">
        <v>34</v>
      </c>
      <c r="F285">
        <v>0</v>
      </c>
      <c r="G285">
        <v>0</v>
      </c>
      <c r="H285">
        <v>0</v>
      </c>
      <c r="K285">
        <v>38</v>
      </c>
      <c r="L285">
        <v>0</v>
      </c>
      <c r="M285">
        <v>2</v>
      </c>
      <c r="N285">
        <v>59</v>
      </c>
      <c r="O285">
        <v>2</v>
      </c>
      <c r="P285">
        <v>0</v>
      </c>
      <c r="Q285">
        <v>0</v>
      </c>
      <c r="R285">
        <v>0</v>
      </c>
    </row>
    <row r="286" spans="1:18" x14ac:dyDescent="0.2">
      <c r="A286" s="16">
        <v>39</v>
      </c>
      <c r="B286">
        <v>0</v>
      </c>
      <c r="C286">
        <v>3</v>
      </c>
      <c r="D286">
        <v>32</v>
      </c>
      <c r="E286">
        <v>4</v>
      </c>
      <c r="F286">
        <v>2</v>
      </c>
      <c r="G286">
        <v>0</v>
      </c>
      <c r="H286">
        <v>0</v>
      </c>
      <c r="K286">
        <v>39</v>
      </c>
      <c r="L286">
        <v>1</v>
      </c>
      <c r="M286">
        <v>2</v>
      </c>
      <c r="N286">
        <v>60</v>
      </c>
      <c r="O286">
        <v>1</v>
      </c>
      <c r="P286">
        <v>0</v>
      </c>
      <c r="Q286">
        <v>0</v>
      </c>
      <c r="R286">
        <v>0</v>
      </c>
    </row>
    <row r="287" spans="1:18" x14ac:dyDescent="0.2">
      <c r="A287" s="16">
        <v>40</v>
      </c>
      <c r="B287">
        <v>0</v>
      </c>
      <c r="C287">
        <v>2</v>
      </c>
      <c r="D287">
        <v>32</v>
      </c>
      <c r="E287">
        <v>5</v>
      </c>
      <c r="F287">
        <v>0</v>
      </c>
      <c r="G287">
        <v>0</v>
      </c>
      <c r="H287">
        <v>0</v>
      </c>
      <c r="K287">
        <v>40</v>
      </c>
      <c r="L287">
        <v>0</v>
      </c>
      <c r="M287">
        <v>4</v>
      </c>
      <c r="N287">
        <v>58</v>
      </c>
      <c r="O287">
        <v>49</v>
      </c>
      <c r="P287">
        <v>11</v>
      </c>
      <c r="Q287">
        <v>2</v>
      </c>
      <c r="R287">
        <v>0</v>
      </c>
    </row>
    <row r="288" spans="1:18" x14ac:dyDescent="0.2">
      <c r="A288" s="16">
        <v>41</v>
      </c>
      <c r="B288">
        <v>0</v>
      </c>
      <c r="C288">
        <v>2</v>
      </c>
      <c r="D288">
        <v>23</v>
      </c>
      <c r="E288">
        <v>20</v>
      </c>
      <c r="F288">
        <v>0</v>
      </c>
      <c r="G288">
        <v>0</v>
      </c>
      <c r="H288">
        <v>0</v>
      </c>
      <c r="K288">
        <v>41</v>
      </c>
      <c r="L288">
        <v>0</v>
      </c>
      <c r="M288">
        <v>3</v>
      </c>
      <c r="N288">
        <v>79</v>
      </c>
      <c r="O288">
        <v>1</v>
      </c>
      <c r="P288">
        <v>2</v>
      </c>
      <c r="Q288">
        <v>0</v>
      </c>
      <c r="R288">
        <v>0</v>
      </c>
    </row>
    <row r="289" spans="1:18" x14ac:dyDescent="0.2">
      <c r="A289" s="16">
        <v>42</v>
      </c>
      <c r="B289">
        <v>0</v>
      </c>
      <c r="C289">
        <v>2</v>
      </c>
      <c r="D289">
        <v>23</v>
      </c>
      <c r="E289">
        <v>13</v>
      </c>
      <c r="F289">
        <v>0</v>
      </c>
      <c r="G289">
        <v>0</v>
      </c>
      <c r="H289">
        <v>0</v>
      </c>
      <c r="K289">
        <v>42</v>
      </c>
      <c r="L289">
        <v>0</v>
      </c>
      <c r="M289">
        <v>3</v>
      </c>
      <c r="N289">
        <v>113</v>
      </c>
      <c r="O289">
        <v>5</v>
      </c>
      <c r="P289">
        <v>3</v>
      </c>
      <c r="Q289">
        <v>0</v>
      </c>
      <c r="R289">
        <v>0</v>
      </c>
    </row>
    <row r="290" spans="1:18" x14ac:dyDescent="0.2">
      <c r="A290" s="16">
        <v>43</v>
      </c>
      <c r="B290">
        <v>0</v>
      </c>
      <c r="C290">
        <v>2</v>
      </c>
      <c r="D290">
        <v>3</v>
      </c>
      <c r="E290">
        <v>33</v>
      </c>
      <c r="F290">
        <v>0</v>
      </c>
      <c r="G290">
        <v>0</v>
      </c>
      <c r="H290">
        <v>0</v>
      </c>
      <c r="K290">
        <v>43</v>
      </c>
      <c r="L290">
        <v>0</v>
      </c>
      <c r="M290">
        <v>3</v>
      </c>
      <c r="N290">
        <v>11</v>
      </c>
      <c r="O290">
        <v>53</v>
      </c>
      <c r="P290">
        <v>29</v>
      </c>
      <c r="Q290">
        <v>0</v>
      </c>
      <c r="R290">
        <v>0</v>
      </c>
    </row>
    <row r="291" spans="1:18" x14ac:dyDescent="0.2">
      <c r="A291" s="16">
        <v>44</v>
      </c>
      <c r="B291">
        <v>0</v>
      </c>
      <c r="C291">
        <v>2</v>
      </c>
      <c r="D291">
        <v>28</v>
      </c>
      <c r="E291">
        <v>4</v>
      </c>
      <c r="F291">
        <v>0</v>
      </c>
      <c r="G291">
        <v>0</v>
      </c>
      <c r="H291">
        <v>0</v>
      </c>
      <c r="K291">
        <v>44</v>
      </c>
      <c r="L291">
        <v>0</v>
      </c>
      <c r="M291">
        <v>2</v>
      </c>
      <c r="N291">
        <v>55</v>
      </c>
      <c r="O291">
        <v>4</v>
      </c>
      <c r="P291">
        <v>0</v>
      </c>
      <c r="Q291">
        <v>0</v>
      </c>
      <c r="R291">
        <v>0</v>
      </c>
    </row>
    <row r="292" spans="1:18" x14ac:dyDescent="0.2">
      <c r="A292" s="16">
        <v>45</v>
      </c>
      <c r="B292">
        <v>0</v>
      </c>
      <c r="C292">
        <v>2</v>
      </c>
      <c r="D292">
        <v>26</v>
      </c>
      <c r="E292">
        <v>6</v>
      </c>
      <c r="F292">
        <v>0</v>
      </c>
      <c r="G292">
        <v>0</v>
      </c>
      <c r="H292">
        <v>0</v>
      </c>
      <c r="K292">
        <v>45</v>
      </c>
      <c r="L292">
        <v>0</v>
      </c>
      <c r="M292">
        <v>2</v>
      </c>
      <c r="N292">
        <v>28</v>
      </c>
      <c r="O292">
        <v>7</v>
      </c>
      <c r="P292">
        <v>0</v>
      </c>
      <c r="Q292">
        <v>0</v>
      </c>
      <c r="R292">
        <v>0</v>
      </c>
    </row>
    <row r="293" spans="1:18" x14ac:dyDescent="0.2">
      <c r="A293" s="16">
        <v>46</v>
      </c>
      <c r="B293">
        <v>0</v>
      </c>
      <c r="C293">
        <v>2</v>
      </c>
      <c r="D293">
        <v>28</v>
      </c>
      <c r="E293">
        <v>8</v>
      </c>
      <c r="F293">
        <v>0</v>
      </c>
      <c r="G293">
        <v>0</v>
      </c>
      <c r="H293">
        <v>0</v>
      </c>
      <c r="K293">
        <v>46</v>
      </c>
      <c r="L293">
        <v>1</v>
      </c>
      <c r="M293">
        <v>1</v>
      </c>
      <c r="N293">
        <v>128</v>
      </c>
      <c r="O293">
        <v>0</v>
      </c>
      <c r="P293">
        <v>0</v>
      </c>
      <c r="Q293">
        <v>0</v>
      </c>
      <c r="R293">
        <v>0</v>
      </c>
    </row>
    <row r="294" spans="1:18" x14ac:dyDescent="0.2">
      <c r="A294" s="16">
        <v>47</v>
      </c>
      <c r="B294">
        <v>0</v>
      </c>
      <c r="C294">
        <v>2</v>
      </c>
      <c r="D294">
        <v>14</v>
      </c>
      <c r="E294">
        <v>34</v>
      </c>
      <c r="F294">
        <v>0</v>
      </c>
      <c r="G294">
        <v>0</v>
      </c>
      <c r="H294">
        <v>0</v>
      </c>
      <c r="K294">
        <v>47</v>
      </c>
      <c r="L294">
        <v>0</v>
      </c>
      <c r="M294">
        <v>3</v>
      </c>
      <c r="N294">
        <v>93</v>
      </c>
      <c r="O294">
        <v>21</v>
      </c>
      <c r="P294">
        <v>14</v>
      </c>
      <c r="Q294">
        <v>0</v>
      </c>
      <c r="R294">
        <v>0</v>
      </c>
    </row>
    <row r="295" spans="1:18" x14ac:dyDescent="0.2">
      <c r="A295" s="16">
        <v>48</v>
      </c>
      <c r="B295">
        <v>0</v>
      </c>
      <c r="C295">
        <v>5</v>
      </c>
      <c r="D295">
        <v>20</v>
      </c>
      <c r="E295">
        <v>2</v>
      </c>
      <c r="F295">
        <v>3</v>
      </c>
      <c r="G295">
        <v>11</v>
      </c>
      <c r="H295">
        <v>3</v>
      </c>
      <c r="K295">
        <v>48</v>
      </c>
      <c r="L295">
        <v>0</v>
      </c>
      <c r="M295">
        <v>3</v>
      </c>
      <c r="N295">
        <v>97</v>
      </c>
      <c r="O295">
        <v>20</v>
      </c>
      <c r="P295">
        <v>5</v>
      </c>
      <c r="Q295">
        <v>0</v>
      </c>
      <c r="R295">
        <v>0</v>
      </c>
    </row>
    <row r="296" spans="1:18" x14ac:dyDescent="0.2">
      <c r="A296" s="16">
        <v>49</v>
      </c>
      <c r="B296">
        <v>0</v>
      </c>
      <c r="C296">
        <v>2</v>
      </c>
      <c r="D296">
        <v>34</v>
      </c>
      <c r="E296">
        <v>13</v>
      </c>
      <c r="F296">
        <v>0</v>
      </c>
      <c r="G296">
        <v>0</v>
      </c>
      <c r="H296">
        <v>0</v>
      </c>
      <c r="K296">
        <v>49</v>
      </c>
      <c r="L296">
        <v>0</v>
      </c>
      <c r="M296">
        <v>2</v>
      </c>
      <c r="N296">
        <v>89</v>
      </c>
      <c r="O296">
        <v>39</v>
      </c>
      <c r="P296">
        <v>0</v>
      </c>
      <c r="Q296">
        <v>0</v>
      </c>
      <c r="R296">
        <v>0</v>
      </c>
    </row>
    <row r="297" spans="1:18" x14ac:dyDescent="0.2">
      <c r="A297" s="16">
        <v>50</v>
      </c>
      <c r="B297">
        <v>0</v>
      </c>
      <c r="C297">
        <v>2</v>
      </c>
      <c r="D297">
        <v>26</v>
      </c>
      <c r="E297">
        <v>22</v>
      </c>
      <c r="F297">
        <v>0</v>
      </c>
      <c r="G297">
        <v>0</v>
      </c>
      <c r="H297">
        <v>0</v>
      </c>
      <c r="K297">
        <v>50</v>
      </c>
      <c r="L297">
        <v>0</v>
      </c>
      <c r="M297">
        <v>3</v>
      </c>
      <c r="N297">
        <v>33</v>
      </c>
      <c r="O297">
        <v>84</v>
      </c>
      <c r="P297">
        <v>7</v>
      </c>
      <c r="Q297">
        <v>0</v>
      </c>
      <c r="R297">
        <v>0</v>
      </c>
    </row>
    <row r="298" spans="1:18" x14ac:dyDescent="0.2">
      <c r="A298" s="16">
        <v>51</v>
      </c>
      <c r="B298">
        <v>0</v>
      </c>
      <c r="C298">
        <v>3</v>
      </c>
      <c r="D298">
        <v>26</v>
      </c>
      <c r="E298">
        <v>14</v>
      </c>
      <c r="F298">
        <v>8</v>
      </c>
      <c r="G298">
        <v>0</v>
      </c>
      <c r="H298">
        <v>0</v>
      </c>
      <c r="K298">
        <v>51</v>
      </c>
      <c r="L298">
        <v>0</v>
      </c>
      <c r="M298">
        <v>2</v>
      </c>
      <c r="N298">
        <v>26</v>
      </c>
      <c r="O298">
        <v>104</v>
      </c>
      <c r="P298">
        <v>0</v>
      </c>
      <c r="Q298">
        <v>0</v>
      </c>
      <c r="R298">
        <v>0</v>
      </c>
    </row>
    <row r="299" spans="1:18" x14ac:dyDescent="0.2">
      <c r="A299" s="16">
        <v>52</v>
      </c>
      <c r="B299">
        <v>1</v>
      </c>
      <c r="C299">
        <v>2</v>
      </c>
      <c r="D299">
        <v>38</v>
      </c>
      <c r="E299">
        <v>1</v>
      </c>
      <c r="F299">
        <v>0</v>
      </c>
      <c r="G299">
        <v>0</v>
      </c>
      <c r="H299">
        <v>0</v>
      </c>
      <c r="K299">
        <v>52</v>
      </c>
      <c r="L299">
        <v>0</v>
      </c>
      <c r="M299">
        <v>2</v>
      </c>
      <c r="N299">
        <v>36</v>
      </c>
      <c r="O299">
        <v>84</v>
      </c>
      <c r="P299">
        <v>0</v>
      </c>
      <c r="Q299">
        <v>0</v>
      </c>
      <c r="R299">
        <v>0</v>
      </c>
    </row>
    <row r="300" spans="1:18" x14ac:dyDescent="0.2">
      <c r="A300" s="16">
        <v>53</v>
      </c>
      <c r="B300">
        <v>1</v>
      </c>
      <c r="C300">
        <v>2</v>
      </c>
      <c r="D300">
        <v>1</v>
      </c>
      <c r="E300">
        <v>39</v>
      </c>
      <c r="F300">
        <v>0</v>
      </c>
      <c r="G300">
        <v>0</v>
      </c>
      <c r="H300">
        <v>0</v>
      </c>
      <c r="K300">
        <v>53</v>
      </c>
      <c r="L300">
        <v>0</v>
      </c>
      <c r="M300">
        <v>2</v>
      </c>
      <c r="N300">
        <v>57</v>
      </c>
      <c r="O300">
        <v>64</v>
      </c>
      <c r="P300">
        <v>0</v>
      </c>
      <c r="Q300">
        <v>0</v>
      </c>
      <c r="R300">
        <v>0</v>
      </c>
    </row>
    <row r="301" spans="1:18" x14ac:dyDescent="0.2">
      <c r="A301" s="16">
        <v>54</v>
      </c>
      <c r="B301">
        <v>0</v>
      </c>
      <c r="C301">
        <v>2</v>
      </c>
      <c r="D301">
        <v>32</v>
      </c>
      <c r="E301">
        <v>10</v>
      </c>
      <c r="F301">
        <v>0</v>
      </c>
      <c r="G301">
        <v>0</v>
      </c>
      <c r="H301">
        <v>0</v>
      </c>
      <c r="K301">
        <v>54</v>
      </c>
      <c r="L301">
        <v>0</v>
      </c>
      <c r="M301">
        <v>3</v>
      </c>
      <c r="N301">
        <v>117</v>
      </c>
      <c r="O301">
        <v>3</v>
      </c>
      <c r="P301">
        <v>5</v>
      </c>
      <c r="Q301">
        <v>0</v>
      </c>
      <c r="R301">
        <v>0</v>
      </c>
    </row>
    <row r="302" spans="1:18" x14ac:dyDescent="0.2">
      <c r="A302" s="16">
        <v>55</v>
      </c>
      <c r="B302">
        <v>0</v>
      </c>
      <c r="C302">
        <v>2</v>
      </c>
      <c r="D302">
        <v>28</v>
      </c>
      <c r="E302">
        <v>25</v>
      </c>
      <c r="F302">
        <v>0</v>
      </c>
      <c r="G302">
        <v>0</v>
      </c>
      <c r="H302">
        <v>0</v>
      </c>
      <c r="K302">
        <v>55</v>
      </c>
      <c r="L302">
        <v>0</v>
      </c>
      <c r="M302">
        <v>3</v>
      </c>
      <c r="N302">
        <v>88</v>
      </c>
      <c r="O302">
        <v>26</v>
      </c>
      <c r="P302">
        <v>11</v>
      </c>
      <c r="Q302">
        <v>0</v>
      </c>
      <c r="R302">
        <v>0</v>
      </c>
    </row>
    <row r="303" spans="1:18" x14ac:dyDescent="0.2">
      <c r="A303" s="16">
        <v>56</v>
      </c>
      <c r="B303">
        <v>0</v>
      </c>
      <c r="C303">
        <v>2</v>
      </c>
      <c r="D303">
        <v>33</v>
      </c>
      <c r="E303">
        <v>9</v>
      </c>
      <c r="F303">
        <v>0</v>
      </c>
      <c r="G303">
        <v>0</v>
      </c>
      <c r="H303">
        <v>0</v>
      </c>
      <c r="K303">
        <v>56</v>
      </c>
      <c r="L303">
        <v>0</v>
      </c>
      <c r="M303">
        <v>2</v>
      </c>
      <c r="N303">
        <v>101</v>
      </c>
      <c r="O303">
        <v>27</v>
      </c>
      <c r="P303">
        <v>0</v>
      </c>
      <c r="Q303">
        <v>0</v>
      </c>
      <c r="R303">
        <v>0</v>
      </c>
    </row>
    <row r="304" spans="1:18" x14ac:dyDescent="0.2">
      <c r="A304" s="16">
        <v>57</v>
      </c>
      <c r="B304">
        <v>0</v>
      </c>
      <c r="C304">
        <v>2</v>
      </c>
      <c r="D304">
        <v>27</v>
      </c>
      <c r="E304">
        <v>13</v>
      </c>
      <c r="F304">
        <v>0</v>
      </c>
      <c r="G304">
        <v>0</v>
      </c>
      <c r="H304">
        <v>0</v>
      </c>
      <c r="K304">
        <v>57</v>
      </c>
      <c r="L304">
        <v>0</v>
      </c>
      <c r="M304">
        <v>4</v>
      </c>
      <c r="N304">
        <v>79</v>
      </c>
      <c r="O304">
        <v>27</v>
      </c>
      <c r="P304">
        <v>8</v>
      </c>
      <c r="Q304">
        <v>9</v>
      </c>
      <c r="R304">
        <v>0</v>
      </c>
    </row>
    <row r="305" spans="1:18" x14ac:dyDescent="0.2">
      <c r="A305" s="16">
        <v>58</v>
      </c>
      <c r="B305">
        <v>0</v>
      </c>
      <c r="C305">
        <v>2</v>
      </c>
      <c r="D305">
        <v>29</v>
      </c>
      <c r="E305">
        <v>12</v>
      </c>
      <c r="F305">
        <v>0</v>
      </c>
      <c r="G305">
        <v>0</v>
      </c>
      <c r="H305">
        <v>0</v>
      </c>
      <c r="K305">
        <v>58</v>
      </c>
      <c r="L305">
        <v>1</v>
      </c>
      <c r="M305">
        <v>2</v>
      </c>
      <c r="N305">
        <v>123</v>
      </c>
      <c r="O305">
        <v>1</v>
      </c>
      <c r="P305">
        <v>0</v>
      </c>
      <c r="Q305">
        <v>0</v>
      </c>
      <c r="R305">
        <v>0</v>
      </c>
    </row>
    <row r="306" spans="1:18" x14ac:dyDescent="0.2">
      <c r="A306" s="16">
        <v>59</v>
      </c>
      <c r="B306">
        <v>0</v>
      </c>
      <c r="C306">
        <v>2</v>
      </c>
      <c r="D306">
        <v>33</v>
      </c>
      <c r="E306">
        <v>10</v>
      </c>
      <c r="F306">
        <v>0</v>
      </c>
      <c r="G306">
        <v>0</v>
      </c>
      <c r="H306">
        <v>0</v>
      </c>
      <c r="K306">
        <v>59</v>
      </c>
      <c r="L306">
        <v>0</v>
      </c>
      <c r="M306">
        <v>3</v>
      </c>
      <c r="N306">
        <v>67</v>
      </c>
      <c r="O306">
        <v>31</v>
      </c>
      <c r="P306">
        <v>25</v>
      </c>
      <c r="Q306">
        <v>0</v>
      </c>
      <c r="R306">
        <v>0</v>
      </c>
    </row>
    <row r="307" spans="1:18" x14ac:dyDescent="0.2">
      <c r="A307" s="16">
        <v>60</v>
      </c>
      <c r="B307">
        <v>0</v>
      </c>
      <c r="C307">
        <v>3</v>
      </c>
      <c r="D307">
        <v>2</v>
      </c>
      <c r="E307">
        <v>37</v>
      </c>
      <c r="F307">
        <v>2</v>
      </c>
      <c r="G307">
        <v>0</v>
      </c>
      <c r="H307">
        <v>0</v>
      </c>
      <c r="K307">
        <v>60</v>
      </c>
      <c r="L307">
        <v>0</v>
      </c>
      <c r="M307">
        <v>3</v>
      </c>
      <c r="N307">
        <v>102</v>
      </c>
      <c r="O307">
        <v>12</v>
      </c>
      <c r="P307">
        <v>7</v>
      </c>
      <c r="Q307">
        <v>0</v>
      </c>
      <c r="R307">
        <v>0</v>
      </c>
    </row>
    <row r="308" spans="1:18" x14ac:dyDescent="0.2">
      <c r="A308" s="16">
        <v>61</v>
      </c>
      <c r="B308">
        <v>0</v>
      </c>
      <c r="C308">
        <v>4</v>
      </c>
      <c r="D308">
        <v>2</v>
      </c>
      <c r="E308">
        <v>29</v>
      </c>
      <c r="F308">
        <v>5</v>
      </c>
      <c r="G308">
        <v>4</v>
      </c>
      <c r="H308">
        <v>0</v>
      </c>
      <c r="K308">
        <v>61</v>
      </c>
      <c r="L308">
        <v>0</v>
      </c>
      <c r="M308">
        <v>2</v>
      </c>
      <c r="N308">
        <v>6</v>
      </c>
      <c r="O308">
        <v>123</v>
      </c>
      <c r="P308">
        <v>0</v>
      </c>
      <c r="Q308">
        <v>0</v>
      </c>
      <c r="R308">
        <v>0</v>
      </c>
    </row>
    <row r="309" spans="1:18" x14ac:dyDescent="0.2">
      <c r="A309" s="16">
        <v>62</v>
      </c>
      <c r="B309">
        <v>0</v>
      </c>
      <c r="C309">
        <v>2</v>
      </c>
      <c r="D309">
        <v>37</v>
      </c>
      <c r="E309">
        <v>3</v>
      </c>
      <c r="F309">
        <v>0</v>
      </c>
      <c r="G309">
        <v>0</v>
      </c>
      <c r="H309">
        <v>0</v>
      </c>
      <c r="K309">
        <v>62</v>
      </c>
      <c r="L309">
        <v>0</v>
      </c>
      <c r="M309">
        <v>2</v>
      </c>
      <c r="N309">
        <v>30</v>
      </c>
      <c r="O309">
        <v>8</v>
      </c>
      <c r="P309">
        <v>0</v>
      </c>
      <c r="Q309">
        <v>0</v>
      </c>
      <c r="R309">
        <v>0</v>
      </c>
    </row>
    <row r="310" spans="1:18" x14ac:dyDescent="0.2">
      <c r="A310" s="16">
        <v>63</v>
      </c>
      <c r="B310">
        <v>0</v>
      </c>
      <c r="C310">
        <v>2</v>
      </c>
      <c r="D310">
        <v>37</v>
      </c>
      <c r="E310">
        <v>2</v>
      </c>
      <c r="F310">
        <v>0</v>
      </c>
      <c r="G310">
        <v>0</v>
      </c>
      <c r="H310">
        <v>0</v>
      </c>
      <c r="K310">
        <v>63</v>
      </c>
      <c r="L310">
        <v>0</v>
      </c>
      <c r="M310">
        <v>2</v>
      </c>
      <c r="N310">
        <v>88</v>
      </c>
      <c r="O310">
        <v>41</v>
      </c>
      <c r="P310">
        <v>0</v>
      </c>
      <c r="Q310">
        <v>0</v>
      </c>
      <c r="R310">
        <v>0</v>
      </c>
    </row>
    <row r="311" spans="1:18" x14ac:dyDescent="0.2">
      <c r="A311" s="16">
        <v>64</v>
      </c>
      <c r="B311">
        <v>0</v>
      </c>
      <c r="C311">
        <v>2</v>
      </c>
      <c r="D311">
        <v>37</v>
      </c>
      <c r="E311">
        <v>16</v>
      </c>
      <c r="F311">
        <v>0</v>
      </c>
      <c r="G311">
        <v>0</v>
      </c>
      <c r="H311">
        <v>0</v>
      </c>
      <c r="K311">
        <v>64</v>
      </c>
      <c r="L311">
        <v>0</v>
      </c>
      <c r="M311">
        <v>3</v>
      </c>
      <c r="N311">
        <v>62</v>
      </c>
      <c r="O311">
        <v>19</v>
      </c>
      <c r="P311">
        <v>3</v>
      </c>
      <c r="Q311">
        <v>0</v>
      </c>
      <c r="R311">
        <v>0</v>
      </c>
    </row>
    <row r="312" spans="1:18" x14ac:dyDescent="0.2">
      <c r="A312" s="16">
        <v>65</v>
      </c>
      <c r="B312">
        <v>0</v>
      </c>
      <c r="C312">
        <v>2</v>
      </c>
      <c r="D312">
        <v>38</v>
      </c>
      <c r="E312">
        <v>9</v>
      </c>
      <c r="F312">
        <v>0</v>
      </c>
      <c r="G312">
        <v>0</v>
      </c>
      <c r="H312">
        <v>0</v>
      </c>
      <c r="K312">
        <v>65</v>
      </c>
      <c r="L312">
        <v>0</v>
      </c>
      <c r="M312">
        <v>2</v>
      </c>
      <c r="N312">
        <v>121</v>
      </c>
      <c r="O312">
        <v>9</v>
      </c>
      <c r="P312">
        <v>0</v>
      </c>
      <c r="Q312">
        <v>0</v>
      </c>
      <c r="R312">
        <v>0</v>
      </c>
    </row>
    <row r="313" spans="1:18" x14ac:dyDescent="0.2">
      <c r="A313" s="16">
        <v>66</v>
      </c>
      <c r="B313">
        <v>0</v>
      </c>
      <c r="C313">
        <v>2</v>
      </c>
      <c r="D313">
        <v>26</v>
      </c>
      <c r="E313">
        <v>29</v>
      </c>
      <c r="F313">
        <v>0</v>
      </c>
      <c r="G313">
        <v>0</v>
      </c>
      <c r="H313">
        <v>0</v>
      </c>
      <c r="K313">
        <v>66</v>
      </c>
      <c r="L313">
        <v>0</v>
      </c>
      <c r="M313">
        <v>5</v>
      </c>
      <c r="N313">
        <v>55</v>
      </c>
      <c r="O313">
        <v>39</v>
      </c>
      <c r="P313">
        <v>1</v>
      </c>
      <c r="Q313">
        <v>27</v>
      </c>
      <c r="R313">
        <v>4</v>
      </c>
    </row>
    <row r="314" spans="1:18" x14ac:dyDescent="0.2">
      <c r="A314" s="16">
        <v>67</v>
      </c>
      <c r="B314">
        <v>0</v>
      </c>
      <c r="C314">
        <v>2</v>
      </c>
      <c r="D314">
        <v>32</v>
      </c>
      <c r="E314">
        <v>14</v>
      </c>
      <c r="F314">
        <v>0</v>
      </c>
      <c r="G314">
        <v>0</v>
      </c>
      <c r="H314">
        <v>0</v>
      </c>
      <c r="K314">
        <v>67</v>
      </c>
      <c r="L314">
        <v>0</v>
      </c>
      <c r="M314">
        <v>2</v>
      </c>
      <c r="N314">
        <v>113</v>
      </c>
      <c r="O314">
        <v>7</v>
      </c>
      <c r="P314">
        <v>0</v>
      </c>
      <c r="Q314">
        <v>0</v>
      </c>
      <c r="R314">
        <v>0</v>
      </c>
    </row>
    <row r="315" spans="1:18" x14ac:dyDescent="0.2">
      <c r="A315" s="16">
        <v>68</v>
      </c>
      <c r="B315">
        <v>0</v>
      </c>
      <c r="C315">
        <v>2</v>
      </c>
      <c r="D315">
        <v>37</v>
      </c>
      <c r="E315">
        <v>5</v>
      </c>
      <c r="F315">
        <v>0</v>
      </c>
      <c r="G315">
        <v>0</v>
      </c>
      <c r="H315">
        <v>0</v>
      </c>
      <c r="K315">
        <v>68</v>
      </c>
      <c r="L315">
        <v>0</v>
      </c>
      <c r="M315">
        <v>2</v>
      </c>
      <c r="N315">
        <v>106</v>
      </c>
      <c r="O315">
        <v>18</v>
      </c>
      <c r="P315">
        <v>0</v>
      </c>
      <c r="Q315">
        <v>0</v>
      </c>
      <c r="R315">
        <v>0</v>
      </c>
    </row>
    <row r="316" spans="1:18" x14ac:dyDescent="0.2">
      <c r="A316" s="16">
        <v>69</v>
      </c>
      <c r="B316">
        <v>0</v>
      </c>
      <c r="C316">
        <v>2</v>
      </c>
      <c r="D316">
        <v>34</v>
      </c>
      <c r="E316">
        <v>7</v>
      </c>
      <c r="F316">
        <v>0</v>
      </c>
      <c r="G316">
        <v>0</v>
      </c>
      <c r="H316">
        <v>0</v>
      </c>
      <c r="K316">
        <v>69</v>
      </c>
      <c r="L316">
        <v>0</v>
      </c>
      <c r="M316">
        <v>2</v>
      </c>
      <c r="N316">
        <v>122</v>
      </c>
      <c r="O316">
        <v>4</v>
      </c>
      <c r="P316">
        <v>0</v>
      </c>
      <c r="Q316">
        <v>0</v>
      </c>
      <c r="R316">
        <v>0</v>
      </c>
    </row>
    <row r="317" spans="1:18" x14ac:dyDescent="0.2">
      <c r="A317" s="16">
        <v>70</v>
      </c>
      <c r="B317">
        <v>0</v>
      </c>
      <c r="C317">
        <v>2</v>
      </c>
      <c r="D317">
        <v>18</v>
      </c>
      <c r="E317">
        <v>28</v>
      </c>
      <c r="F317">
        <v>0</v>
      </c>
      <c r="G317">
        <v>0</v>
      </c>
      <c r="H317">
        <v>0</v>
      </c>
      <c r="K317">
        <v>70</v>
      </c>
      <c r="L317">
        <v>0</v>
      </c>
      <c r="M317">
        <v>2</v>
      </c>
      <c r="N317">
        <v>115</v>
      </c>
      <c r="O317">
        <v>4</v>
      </c>
      <c r="P317">
        <v>0</v>
      </c>
      <c r="Q317">
        <v>0</v>
      </c>
      <c r="R317">
        <v>0</v>
      </c>
    </row>
    <row r="318" spans="1:18" x14ac:dyDescent="0.2">
      <c r="A318" s="16">
        <v>71</v>
      </c>
      <c r="B318">
        <v>0</v>
      </c>
      <c r="C318">
        <v>2</v>
      </c>
      <c r="D318">
        <v>36</v>
      </c>
      <c r="E318">
        <v>5</v>
      </c>
      <c r="F318">
        <v>0</v>
      </c>
      <c r="G318">
        <v>0</v>
      </c>
      <c r="H318">
        <v>0</v>
      </c>
      <c r="K318">
        <v>71</v>
      </c>
      <c r="L318">
        <v>0</v>
      </c>
      <c r="M318">
        <v>3</v>
      </c>
      <c r="N318">
        <v>81</v>
      </c>
      <c r="O318">
        <v>32</v>
      </c>
      <c r="P318">
        <v>2</v>
      </c>
      <c r="Q318">
        <v>0</v>
      </c>
      <c r="R318">
        <v>0</v>
      </c>
    </row>
    <row r="319" spans="1:18" x14ac:dyDescent="0.2">
      <c r="A319" s="16">
        <v>72</v>
      </c>
      <c r="B319">
        <v>0</v>
      </c>
      <c r="C319">
        <v>4</v>
      </c>
      <c r="D319">
        <v>1</v>
      </c>
      <c r="E319">
        <v>8</v>
      </c>
      <c r="F319">
        <v>30</v>
      </c>
      <c r="G319">
        <v>6</v>
      </c>
      <c r="H319">
        <v>0</v>
      </c>
      <c r="K319">
        <v>72</v>
      </c>
      <c r="L319">
        <v>0</v>
      </c>
      <c r="M319">
        <v>2</v>
      </c>
      <c r="N319">
        <v>111</v>
      </c>
      <c r="O319">
        <v>9</v>
      </c>
      <c r="P319">
        <v>0</v>
      </c>
      <c r="Q319">
        <v>0</v>
      </c>
      <c r="R319">
        <v>0</v>
      </c>
    </row>
    <row r="320" spans="1:18" x14ac:dyDescent="0.2">
      <c r="A320" s="16">
        <v>73</v>
      </c>
      <c r="B320">
        <v>0</v>
      </c>
      <c r="C320">
        <v>2</v>
      </c>
      <c r="D320">
        <v>38</v>
      </c>
      <c r="E320">
        <v>12</v>
      </c>
      <c r="F320">
        <v>0</v>
      </c>
      <c r="G320">
        <v>0</v>
      </c>
      <c r="H320">
        <v>0</v>
      </c>
      <c r="K320">
        <v>73</v>
      </c>
      <c r="L320">
        <v>0</v>
      </c>
      <c r="M320">
        <v>2</v>
      </c>
      <c r="N320">
        <v>51</v>
      </c>
      <c r="O320">
        <v>43</v>
      </c>
      <c r="P320">
        <v>0</v>
      </c>
      <c r="Q320">
        <v>0</v>
      </c>
      <c r="R320">
        <v>0</v>
      </c>
    </row>
    <row r="321" spans="1:18" x14ac:dyDescent="0.2">
      <c r="A321" s="16">
        <v>74</v>
      </c>
      <c r="B321">
        <v>0</v>
      </c>
      <c r="C321">
        <v>2</v>
      </c>
      <c r="D321">
        <v>31</v>
      </c>
      <c r="E321">
        <v>18</v>
      </c>
      <c r="F321">
        <v>0</v>
      </c>
      <c r="G321">
        <v>0</v>
      </c>
      <c r="H321">
        <v>0</v>
      </c>
      <c r="K321">
        <v>74</v>
      </c>
      <c r="L321">
        <v>0</v>
      </c>
      <c r="M321">
        <v>2</v>
      </c>
      <c r="N321">
        <v>121</v>
      </c>
      <c r="O321">
        <v>6</v>
      </c>
      <c r="P321">
        <v>0</v>
      </c>
      <c r="Q321">
        <v>0</v>
      </c>
      <c r="R321">
        <v>0</v>
      </c>
    </row>
    <row r="322" spans="1:18" x14ac:dyDescent="0.2">
      <c r="A322" s="16">
        <v>75</v>
      </c>
      <c r="B322">
        <v>0</v>
      </c>
      <c r="C322">
        <v>2</v>
      </c>
      <c r="D322">
        <v>32</v>
      </c>
      <c r="E322">
        <v>8</v>
      </c>
      <c r="F322">
        <v>0</v>
      </c>
      <c r="G322">
        <v>0</v>
      </c>
      <c r="H322">
        <v>0</v>
      </c>
      <c r="K322">
        <v>75</v>
      </c>
      <c r="L322">
        <v>0</v>
      </c>
      <c r="M322">
        <v>2</v>
      </c>
      <c r="N322">
        <v>27</v>
      </c>
      <c r="O322">
        <v>3</v>
      </c>
      <c r="P322">
        <v>0</v>
      </c>
      <c r="Q322">
        <v>0</v>
      </c>
      <c r="R322">
        <v>0</v>
      </c>
    </row>
    <row r="323" spans="1:18" x14ac:dyDescent="0.2">
      <c r="A323" s="16">
        <v>76</v>
      </c>
      <c r="B323">
        <v>0</v>
      </c>
      <c r="C323">
        <v>2</v>
      </c>
      <c r="D323">
        <v>11</v>
      </c>
      <c r="E323">
        <v>33</v>
      </c>
      <c r="F323">
        <v>0</v>
      </c>
      <c r="G323">
        <v>0</v>
      </c>
      <c r="H323">
        <v>0</v>
      </c>
      <c r="K323">
        <v>76</v>
      </c>
      <c r="L323">
        <v>1</v>
      </c>
      <c r="M323">
        <v>1</v>
      </c>
      <c r="N323">
        <v>131</v>
      </c>
      <c r="O323">
        <v>0</v>
      </c>
      <c r="P323">
        <v>0</v>
      </c>
      <c r="Q323">
        <v>0</v>
      </c>
      <c r="R323">
        <v>0</v>
      </c>
    </row>
    <row r="324" spans="1:18" x14ac:dyDescent="0.2">
      <c r="A324" s="16">
        <v>77</v>
      </c>
      <c r="B324">
        <v>0</v>
      </c>
      <c r="C324">
        <v>2</v>
      </c>
      <c r="D324">
        <v>30</v>
      </c>
      <c r="E324">
        <v>11</v>
      </c>
      <c r="F324">
        <v>0</v>
      </c>
      <c r="G324">
        <v>0</v>
      </c>
      <c r="H324">
        <v>0</v>
      </c>
      <c r="K324">
        <v>77</v>
      </c>
      <c r="L324">
        <v>0</v>
      </c>
      <c r="M324">
        <v>5</v>
      </c>
      <c r="N324">
        <v>42</v>
      </c>
      <c r="O324">
        <v>9</v>
      </c>
      <c r="P324">
        <v>22</v>
      </c>
      <c r="Q324">
        <v>32</v>
      </c>
      <c r="R324">
        <v>2</v>
      </c>
    </row>
    <row r="325" spans="1:18" x14ac:dyDescent="0.2">
      <c r="A325" s="16">
        <v>78</v>
      </c>
      <c r="B325">
        <v>0</v>
      </c>
      <c r="C325">
        <v>3</v>
      </c>
      <c r="D325">
        <v>14</v>
      </c>
      <c r="E325">
        <v>28</v>
      </c>
      <c r="F325">
        <v>8</v>
      </c>
      <c r="G325">
        <v>0</v>
      </c>
      <c r="H325">
        <v>0</v>
      </c>
      <c r="K325">
        <v>78</v>
      </c>
      <c r="L325">
        <v>0</v>
      </c>
      <c r="M325">
        <v>3</v>
      </c>
      <c r="N325">
        <v>100</v>
      </c>
      <c r="O325">
        <v>9</v>
      </c>
      <c r="P325">
        <v>6</v>
      </c>
      <c r="Q325">
        <v>0</v>
      </c>
      <c r="R325">
        <v>0</v>
      </c>
    </row>
    <row r="326" spans="1:18" x14ac:dyDescent="0.2">
      <c r="A326" s="16">
        <v>79</v>
      </c>
      <c r="B326">
        <v>0</v>
      </c>
      <c r="C326">
        <v>4</v>
      </c>
      <c r="D326">
        <v>21</v>
      </c>
      <c r="E326">
        <v>23</v>
      </c>
      <c r="F326">
        <v>11</v>
      </c>
      <c r="G326">
        <v>1</v>
      </c>
      <c r="H326">
        <v>0</v>
      </c>
      <c r="K326">
        <v>79</v>
      </c>
      <c r="L326">
        <v>0</v>
      </c>
      <c r="M326">
        <v>2</v>
      </c>
      <c r="N326">
        <v>33</v>
      </c>
      <c r="O326">
        <v>25</v>
      </c>
      <c r="P326">
        <v>0</v>
      </c>
      <c r="Q326">
        <v>0</v>
      </c>
      <c r="R326">
        <v>0</v>
      </c>
    </row>
    <row r="327" spans="1:18" x14ac:dyDescent="0.2">
      <c r="A327" s="16">
        <v>80</v>
      </c>
      <c r="B327">
        <v>0</v>
      </c>
      <c r="C327">
        <v>3</v>
      </c>
      <c r="D327">
        <v>28</v>
      </c>
      <c r="E327">
        <v>23</v>
      </c>
      <c r="F327">
        <v>8</v>
      </c>
      <c r="G327">
        <v>0</v>
      </c>
      <c r="H327">
        <v>0</v>
      </c>
      <c r="K327">
        <v>80</v>
      </c>
      <c r="L327">
        <v>0</v>
      </c>
      <c r="M327">
        <v>2</v>
      </c>
      <c r="N327">
        <v>52</v>
      </c>
      <c r="O327">
        <v>7</v>
      </c>
      <c r="P327">
        <v>0</v>
      </c>
      <c r="Q327">
        <v>0</v>
      </c>
      <c r="R327">
        <v>0</v>
      </c>
    </row>
    <row r="328" spans="1:18" x14ac:dyDescent="0.2">
      <c r="A328" s="16">
        <v>81</v>
      </c>
      <c r="B328">
        <v>0</v>
      </c>
      <c r="C328">
        <v>2</v>
      </c>
      <c r="D328">
        <v>38</v>
      </c>
      <c r="E328">
        <v>10</v>
      </c>
      <c r="F328">
        <v>0</v>
      </c>
      <c r="G328">
        <v>0</v>
      </c>
      <c r="H328">
        <v>0</v>
      </c>
      <c r="K328">
        <v>81</v>
      </c>
      <c r="L328">
        <v>0</v>
      </c>
      <c r="M328">
        <v>2</v>
      </c>
      <c r="N328">
        <v>30</v>
      </c>
      <c r="O328">
        <v>55</v>
      </c>
      <c r="P328">
        <v>0</v>
      </c>
      <c r="Q328">
        <v>0</v>
      </c>
      <c r="R328">
        <v>0</v>
      </c>
    </row>
    <row r="329" spans="1:18" x14ac:dyDescent="0.2">
      <c r="A329" s="16">
        <v>82</v>
      </c>
      <c r="B329">
        <v>0</v>
      </c>
      <c r="C329">
        <v>3</v>
      </c>
      <c r="D329">
        <v>6</v>
      </c>
      <c r="E329">
        <v>37</v>
      </c>
      <c r="F329">
        <v>1</v>
      </c>
      <c r="G329">
        <v>0</v>
      </c>
      <c r="H329">
        <v>0</v>
      </c>
      <c r="K329">
        <v>82</v>
      </c>
      <c r="L329">
        <v>0</v>
      </c>
      <c r="M329">
        <v>2</v>
      </c>
      <c r="N329">
        <v>77</v>
      </c>
      <c r="O329">
        <v>4</v>
      </c>
      <c r="P329">
        <v>0</v>
      </c>
      <c r="Q329">
        <v>0</v>
      </c>
      <c r="R329">
        <v>0</v>
      </c>
    </row>
    <row r="330" spans="1:18" x14ac:dyDescent="0.2">
      <c r="A330" s="16">
        <v>83</v>
      </c>
      <c r="B330">
        <v>0</v>
      </c>
      <c r="C330">
        <v>2</v>
      </c>
      <c r="D330">
        <v>7</v>
      </c>
      <c r="E330">
        <v>22</v>
      </c>
      <c r="F330">
        <v>0</v>
      </c>
      <c r="G330">
        <v>0</v>
      </c>
      <c r="H330">
        <v>0</v>
      </c>
      <c r="K330">
        <v>83</v>
      </c>
      <c r="L330">
        <v>0</v>
      </c>
      <c r="M330">
        <v>2</v>
      </c>
      <c r="N330">
        <v>46</v>
      </c>
      <c r="O330">
        <v>28</v>
      </c>
      <c r="P330">
        <v>0</v>
      </c>
      <c r="Q330">
        <v>0</v>
      </c>
      <c r="R330">
        <v>0</v>
      </c>
    </row>
    <row r="331" spans="1:18" x14ac:dyDescent="0.2">
      <c r="A331" s="16">
        <v>84</v>
      </c>
      <c r="B331">
        <v>0</v>
      </c>
      <c r="C331">
        <v>5</v>
      </c>
      <c r="D331">
        <v>3</v>
      </c>
      <c r="E331">
        <v>3</v>
      </c>
      <c r="F331">
        <v>6</v>
      </c>
      <c r="G331">
        <v>8</v>
      </c>
      <c r="H331">
        <v>12</v>
      </c>
      <c r="K331">
        <v>84</v>
      </c>
      <c r="L331">
        <v>0</v>
      </c>
      <c r="M331">
        <v>2</v>
      </c>
      <c r="N331">
        <v>71</v>
      </c>
      <c r="O331">
        <v>15</v>
      </c>
      <c r="P331">
        <v>0</v>
      </c>
      <c r="Q331">
        <v>0</v>
      </c>
      <c r="R331">
        <v>0</v>
      </c>
    </row>
    <row r="332" spans="1:18" x14ac:dyDescent="0.2">
      <c r="A332" s="16">
        <v>85</v>
      </c>
      <c r="B332">
        <v>0</v>
      </c>
      <c r="C332">
        <v>2</v>
      </c>
      <c r="D332">
        <v>19</v>
      </c>
      <c r="E332">
        <v>10</v>
      </c>
      <c r="F332">
        <v>0</v>
      </c>
      <c r="G332">
        <v>0</v>
      </c>
      <c r="H332">
        <v>0</v>
      </c>
      <c r="K332">
        <v>85</v>
      </c>
      <c r="L332">
        <v>0</v>
      </c>
      <c r="M332">
        <v>3</v>
      </c>
      <c r="N332">
        <v>90</v>
      </c>
      <c r="O332">
        <v>6</v>
      </c>
      <c r="P332">
        <v>2</v>
      </c>
      <c r="Q332">
        <v>0</v>
      </c>
      <c r="R332">
        <v>0</v>
      </c>
    </row>
    <row r="333" spans="1:18" x14ac:dyDescent="0.2">
      <c r="A333" s="16">
        <v>86</v>
      </c>
      <c r="B333">
        <v>0</v>
      </c>
      <c r="C333">
        <v>4</v>
      </c>
      <c r="D333">
        <v>5</v>
      </c>
      <c r="E333">
        <v>18</v>
      </c>
      <c r="F333">
        <v>2</v>
      </c>
      <c r="G333">
        <v>2</v>
      </c>
      <c r="H333">
        <v>0</v>
      </c>
      <c r="K333">
        <v>86</v>
      </c>
      <c r="L333">
        <v>0</v>
      </c>
      <c r="M333">
        <v>3</v>
      </c>
      <c r="N333">
        <v>44</v>
      </c>
      <c r="O333">
        <v>3</v>
      </c>
      <c r="P333">
        <v>2</v>
      </c>
      <c r="Q333">
        <v>0</v>
      </c>
      <c r="R333">
        <v>0</v>
      </c>
    </row>
    <row r="334" spans="1:18" x14ac:dyDescent="0.2">
      <c r="A334" s="16">
        <v>87</v>
      </c>
      <c r="B334">
        <v>1</v>
      </c>
      <c r="C334">
        <v>2</v>
      </c>
      <c r="D334">
        <v>25</v>
      </c>
      <c r="E334">
        <v>1</v>
      </c>
      <c r="F334">
        <v>0</v>
      </c>
      <c r="G334">
        <v>0</v>
      </c>
      <c r="H334">
        <v>0</v>
      </c>
      <c r="K334">
        <v>87</v>
      </c>
      <c r="L334">
        <v>0</v>
      </c>
      <c r="M334">
        <v>2</v>
      </c>
      <c r="N334">
        <v>47</v>
      </c>
      <c r="O334">
        <v>2</v>
      </c>
      <c r="P334">
        <v>0</v>
      </c>
      <c r="Q334">
        <v>0</v>
      </c>
      <c r="R334">
        <v>0</v>
      </c>
    </row>
    <row r="335" spans="1:18" x14ac:dyDescent="0.2">
      <c r="A335" s="16">
        <v>88</v>
      </c>
      <c r="B335">
        <v>0</v>
      </c>
      <c r="C335">
        <v>3</v>
      </c>
      <c r="D335">
        <v>13</v>
      </c>
      <c r="E335">
        <v>13</v>
      </c>
      <c r="F335">
        <v>2</v>
      </c>
      <c r="G335">
        <v>0</v>
      </c>
      <c r="H335">
        <v>0</v>
      </c>
      <c r="K335">
        <v>88</v>
      </c>
      <c r="L335">
        <v>0</v>
      </c>
      <c r="M335">
        <v>2</v>
      </c>
      <c r="N335">
        <v>31</v>
      </c>
      <c r="O335">
        <v>21</v>
      </c>
      <c r="P335">
        <v>0</v>
      </c>
      <c r="Q335">
        <v>0</v>
      </c>
      <c r="R335">
        <v>0</v>
      </c>
    </row>
    <row r="336" spans="1:18" x14ac:dyDescent="0.2">
      <c r="A336" s="16">
        <v>89</v>
      </c>
      <c r="B336">
        <v>0</v>
      </c>
      <c r="C336">
        <v>3</v>
      </c>
      <c r="D336">
        <v>16</v>
      </c>
      <c r="E336">
        <v>11</v>
      </c>
      <c r="F336">
        <v>4</v>
      </c>
      <c r="G336">
        <v>0</v>
      </c>
      <c r="H336">
        <v>0</v>
      </c>
      <c r="K336">
        <v>89</v>
      </c>
      <c r="L336">
        <v>0</v>
      </c>
      <c r="M336">
        <v>2</v>
      </c>
      <c r="N336">
        <v>79</v>
      </c>
      <c r="O336">
        <v>15</v>
      </c>
      <c r="P336">
        <v>0</v>
      </c>
      <c r="Q336">
        <v>0</v>
      </c>
      <c r="R336">
        <v>0</v>
      </c>
    </row>
    <row r="337" spans="1:18" x14ac:dyDescent="0.2">
      <c r="A337" s="16">
        <v>90</v>
      </c>
      <c r="B337">
        <v>0</v>
      </c>
      <c r="C337">
        <v>3</v>
      </c>
      <c r="D337">
        <v>3</v>
      </c>
      <c r="E337">
        <v>19</v>
      </c>
      <c r="F337">
        <v>8</v>
      </c>
      <c r="G337">
        <v>0</v>
      </c>
      <c r="H337">
        <v>0</v>
      </c>
      <c r="K337">
        <v>90</v>
      </c>
      <c r="L337">
        <v>0</v>
      </c>
      <c r="M337">
        <v>2</v>
      </c>
      <c r="N337">
        <v>70</v>
      </c>
      <c r="O337">
        <v>30</v>
      </c>
      <c r="P337">
        <v>0</v>
      </c>
      <c r="Q337">
        <v>0</v>
      </c>
      <c r="R337">
        <v>0</v>
      </c>
    </row>
    <row r="338" spans="1:18" x14ac:dyDescent="0.2">
      <c r="A338" s="16">
        <v>91</v>
      </c>
      <c r="B338">
        <v>1</v>
      </c>
      <c r="C338">
        <v>3</v>
      </c>
      <c r="D338">
        <v>1</v>
      </c>
      <c r="E338">
        <v>30</v>
      </c>
      <c r="F338">
        <v>1</v>
      </c>
      <c r="G338">
        <v>0</v>
      </c>
      <c r="H338">
        <v>0</v>
      </c>
      <c r="K338">
        <v>91</v>
      </c>
      <c r="L338">
        <v>0</v>
      </c>
      <c r="M338">
        <v>2</v>
      </c>
      <c r="N338">
        <v>2</v>
      </c>
      <c r="O338">
        <v>30</v>
      </c>
      <c r="P338">
        <v>0</v>
      </c>
      <c r="Q338">
        <v>0</v>
      </c>
      <c r="R338">
        <v>0</v>
      </c>
    </row>
    <row r="339" spans="1:18" x14ac:dyDescent="0.2">
      <c r="A339" s="16">
        <v>92</v>
      </c>
      <c r="B339">
        <v>0</v>
      </c>
      <c r="C339">
        <v>2</v>
      </c>
      <c r="D339">
        <v>25</v>
      </c>
      <c r="E339">
        <v>7</v>
      </c>
      <c r="F339">
        <v>0</v>
      </c>
      <c r="G339">
        <v>0</v>
      </c>
      <c r="H339">
        <v>0</v>
      </c>
      <c r="K339">
        <v>92</v>
      </c>
      <c r="L339">
        <v>0</v>
      </c>
      <c r="M339">
        <v>2</v>
      </c>
      <c r="N339">
        <v>44</v>
      </c>
      <c r="O339">
        <v>54</v>
      </c>
      <c r="P339">
        <v>0</v>
      </c>
      <c r="Q339">
        <v>0</v>
      </c>
      <c r="R339">
        <v>0</v>
      </c>
    </row>
    <row r="340" spans="1:18" x14ac:dyDescent="0.2">
      <c r="A340" s="16">
        <v>93</v>
      </c>
      <c r="B340">
        <v>0</v>
      </c>
      <c r="C340">
        <v>2</v>
      </c>
      <c r="D340">
        <v>3</v>
      </c>
      <c r="E340">
        <v>30</v>
      </c>
      <c r="F340">
        <v>0</v>
      </c>
      <c r="G340">
        <v>0</v>
      </c>
      <c r="H340">
        <v>0</v>
      </c>
      <c r="K340">
        <v>93</v>
      </c>
      <c r="L340">
        <v>0</v>
      </c>
      <c r="M340">
        <v>2</v>
      </c>
      <c r="N340">
        <v>13</v>
      </c>
      <c r="O340">
        <v>7</v>
      </c>
      <c r="P340">
        <v>0</v>
      </c>
      <c r="Q340">
        <v>0</v>
      </c>
      <c r="R340">
        <v>0</v>
      </c>
    </row>
    <row r="341" spans="1:18" x14ac:dyDescent="0.2">
      <c r="A341" s="16">
        <v>94</v>
      </c>
      <c r="B341">
        <v>0</v>
      </c>
      <c r="C341">
        <v>2</v>
      </c>
      <c r="D341">
        <v>3</v>
      </c>
      <c r="E341">
        <v>30</v>
      </c>
      <c r="F341">
        <v>0</v>
      </c>
      <c r="G341">
        <v>0</v>
      </c>
      <c r="H341">
        <v>0</v>
      </c>
      <c r="K341">
        <v>94</v>
      </c>
      <c r="L341">
        <v>0</v>
      </c>
      <c r="M341">
        <v>2</v>
      </c>
      <c r="N341">
        <v>60</v>
      </c>
      <c r="O341">
        <v>8</v>
      </c>
      <c r="P341">
        <v>0</v>
      </c>
      <c r="Q341">
        <v>0</v>
      </c>
      <c r="R341">
        <v>0</v>
      </c>
    </row>
    <row r="342" spans="1:18" x14ac:dyDescent="0.2">
      <c r="A342" s="16">
        <v>95</v>
      </c>
      <c r="B342">
        <v>0</v>
      </c>
      <c r="C342">
        <v>2</v>
      </c>
      <c r="D342">
        <v>3</v>
      </c>
      <c r="E342">
        <v>29</v>
      </c>
      <c r="F342">
        <v>0</v>
      </c>
      <c r="G342">
        <v>0</v>
      </c>
      <c r="H342">
        <v>0</v>
      </c>
      <c r="K342">
        <v>95</v>
      </c>
      <c r="L342">
        <v>1</v>
      </c>
      <c r="M342">
        <v>1</v>
      </c>
      <c r="N342">
        <v>125</v>
      </c>
      <c r="O342">
        <v>0</v>
      </c>
      <c r="P342">
        <v>0</v>
      </c>
      <c r="Q342">
        <v>0</v>
      </c>
      <c r="R342">
        <v>0</v>
      </c>
    </row>
    <row r="343" spans="1:18" x14ac:dyDescent="0.2">
      <c r="A343" s="16">
        <v>96</v>
      </c>
      <c r="B343">
        <v>0</v>
      </c>
      <c r="C343">
        <v>2</v>
      </c>
      <c r="D343">
        <v>3</v>
      </c>
      <c r="E343">
        <v>30</v>
      </c>
      <c r="F343">
        <v>0</v>
      </c>
      <c r="G343">
        <v>0</v>
      </c>
      <c r="H343">
        <v>0</v>
      </c>
      <c r="K343">
        <v>96</v>
      </c>
      <c r="L343">
        <v>0</v>
      </c>
      <c r="M343">
        <v>4</v>
      </c>
      <c r="N343">
        <v>81</v>
      </c>
      <c r="O343">
        <v>22</v>
      </c>
      <c r="P343">
        <v>2</v>
      </c>
      <c r="Q343">
        <v>3</v>
      </c>
      <c r="R343">
        <v>0</v>
      </c>
    </row>
    <row r="344" spans="1:18" x14ac:dyDescent="0.2">
      <c r="A344" s="16">
        <v>97</v>
      </c>
      <c r="B344">
        <v>0</v>
      </c>
      <c r="C344">
        <v>2</v>
      </c>
      <c r="D344">
        <v>3</v>
      </c>
      <c r="E344">
        <v>29</v>
      </c>
      <c r="F344">
        <v>0</v>
      </c>
      <c r="G344">
        <v>0</v>
      </c>
      <c r="H344">
        <v>0</v>
      </c>
      <c r="K344">
        <v>97</v>
      </c>
      <c r="L344">
        <v>1</v>
      </c>
      <c r="M344">
        <v>1</v>
      </c>
      <c r="N344">
        <v>125</v>
      </c>
      <c r="O344">
        <v>0</v>
      </c>
      <c r="P344">
        <v>0</v>
      </c>
      <c r="Q344">
        <v>0</v>
      </c>
      <c r="R344">
        <v>0</v>
      </c>
    </row>
    <row r="345" spans="1:18" x14ac:dyDescent="0.2">
      <c r="A345" s="16">
        <v>98</v>
      </c>
      <c r="B345">
        <v>0</v>
      </c>
      <c r="C345">
        <v>2</v>
      </c>
      <c r="D345">
        <v>3</v>
      </c>
      <c r="E345">
        <v>29</v>
      </c>
      <c r="F345">
        <v>0</v>
      </c>
      <c r="G345">
        <v>0</v>
      </c>
      <c r="H345">
        <v>0</v>
      </c>
      <c r="K345">
        <v>98</v>
      </c>
      <c r="L345">
        <v>1</v>
      </c>
      <c r="M345">
        <v>1</v>
      </c>
      <c r="N345">
        <v>131</v>
      </c>
      <c r="O345">
        <v>0</v>
      </c>
      <c r="P345">
        <v>0</v>
      </c>
      <c r="Q345">
        <v>0</v>
      </c>
      <c r="R345">
        <v>0</v>
      </c>
    </row>
    <row r="346" spans="1:18" x14ac:dyDescent="0.2">
      <c r="A346" s="16">
        <v>99</v>
      </c>
      <c r="B346">
        <v>0</v>
      </c>
      <c r="C346">
        <v>3</v>
      </c>
      <c r="D346">
        <v>3</v>
      </c>
      <c r="E346">
        <v>27</v>
      </c>
      <c r="F346">
        <v>1</v>
      </c>
      <c r="G346">
        <v>0</v>
      </c>
      <c r="H346">
        <v>0</v>
      </c>
      <c r="K346">
        <v>99</v>
      </c>
      <c r="L346">
        <v>0</v>
      </c>
      <c r="M346">
        <v>2</v>
      </c>
      <c r="N346">
        <v>39</v>
      </c>
      <c r="O346">
        <v>67</v>
      </c>
      <c r="P346">
        <v>0</v>
      </c>
      <c r="Q346">
        <v>0</v>
      </c>
      <c r="R346">
        <v>0</v>
      </c>
    </row>
    <row r="347" spans="1:18" x14ac:dyDescent="0.2">
      <c r="A347" s="16">
        <v>100</v>
      </c>
      <c r="B347">
        <v>0</v>
      </c>
      <c r="C347">
        <v>2</v>
      </c>
      <c r="D347">
        <v>3</v>
      </c>
      <c r="E347">
        <v>29</v>
      </c>
      <c r="F347">
        <v>0</v>
      </c>
      <c r="G347">
        <v>0</v>
      </c>
      <c r="H347">
        <v>0</v>
      </c>
      <c r="K347">
        <v>100</v>
      </c>
      <c r="L347">
        <v>0</v>
      </c>
      <c r="M347">
        <v>3</v>
      </c>
      <c r="N347">
        <v>40</v>
      </c>
      <c r="O347">
        <v>11</v>
      </c>
      <c r="P347">
        <v>1</v>
      </c>
      <c r="Q347">
        <v>0</v>
      </c>
      <c r="R347">
        <v>0</v>
      </c>
    </row>
    <row r="348" spans="1:18" x14ac:dyDescent="0.2">
      <c r="A348" s="16">
        <v>101</v>
      </c>
      <c r="B348">
        <v>0</v>
      </c>
      <c r="C348">
        <v>2</v>
      </c>
      <c r="D348">
        <v>4</v>
      </c>
      <c r="E348">
        <v>26</v>
      </c>
      <c r="F348">
        <v>0</v>
      </c>
      <c r="G348">
        <v>0</v>
      </c>
      <c r="H348">
        <v>0</v>
      </c>
      <c r="K348">
        <v>101</v>
      </c>
      <c r="L348">
        <v>0</v>
      </c>
      <c r="M348">
        <v>3</v>
      </c>
      <c r="N348">
        <v>9</v>
      </c>
      <c r="O348">
        <v>2</v>
      </c>
      <c r="P348">
        <v>91</v>
      </c>
      <c r="Q348">
        <v>0</v>
      </c>
      <c r="R348">
        <v>0</v>
      </c>
    </row>
    <row r="349" spans="1:18" x14ac:dyDescent="0.2">
      <c r="A349" s="16">
        <v>102</v>
      </c>
      <c r="B349">
        <v>0</v>
      </c>
      <c r="C349">
        <v>2</v>
      </c>
      <c r="D349">
        <v>3</v>
      </c>
      <c r="E349">
        <v>29</v>
      </c>
      <c r="F349">
        <v>0</v>
      </c>
      <c r="G349">
        <v>0</v>
      </c>
      <c r="H349">
        <v>0</v>
      </c>
      <c r="K349">
        <v>102</v>
      </c>
      <c r="L349">
        <v>0</v>
      </c>
      <c r="M349">
        <v>3</v>
      </c>
      <c r="N349">
        <v>22</v>
      </c>
      <c r="O349">
        <v>63</v>
      </c>
      <c r="P349">
        <v>15</v>
      </c>
      <c r="Q349">
        <v>0</v>
      </c>
      <c r="R349">
        <v>0</v>
      </c>
    </row>
    <row r="350" spans="1:18" x14ac:dyDescent="0.2">
      <c r="A350" s="16">
        <v>103</v>
      </c>
      <c r="B350">
        <v>0</v>
      </c>
      <c r="C350">
        <v>2</v>
      </c>
      <c r="D350">
        <v>30</v>
      </c>
      <c r="E350">
        <v>2</v>
      </c>
      <c r="F350">
        <v>0</v>
      </c>
      <c r="G350">
        <v>0</v>
      </c>
      <c r="H350">
        <v>0</v>
      </c>
      <c r="K350">
        <v>103</v>
      </c>
      <c r="L350">
        <v>0</v>
      </c>
      <c r="M350">
        <v>3</v>
      </c>
      <c r="N350">
        <v>40</v>
      </c>
      <c r="O350">
        <v>9</v>
      </c>
      <c r="P350">
        <v>1</v>
      </c>
      <c r="Q350">
        <v>0</v>
      </c>
      <c r="R350">
        <v>0</v>
      </c>
    </row>
    <row r="351" spans="1:18" x14ac:dyDescent="0.2">
      <c r="A351" s="16">
        <v>104</v>
      </c>
      <c r="B351">
        <v>0</v>
      </c>
      <c r="C351">
        <v>2</v>
      </c>
      <c r="D351">
        <v>2</v>
      </c>
      <c r="E351">
        <v>25</v>
      </c>
      <c r="F351">
        <v>0</v>
      </c>
      <c r="G351">
        <v>0</v>
      </c>
      <c r="H351">
        <v>0</v>
      </c>
      <c r="K351">
        <v>104</v>
      </c>
      <c r="L351">
        <v>0</v>
      </c>
      <c r="M351">
        <v>3</v>
      </c>
      <c r="N351">
        <v>25</v>
      </c>
      <c r="O351">
        <v>16</v>
      </c>
      <c r="P351">
        <v>8</v>
      </c>
      <c r="Q351">
        <v>0</v>
      </c>
      <c r="R351">
        <v>0</v>
      </c>
    </row>
    <row r="352" spans="1:18" x14ac:dyDescent="0.2">
      <c r="A352" s="16">
        <v>105</v>
      </c>
      <c r="B352">
        <v>0</v>
      </c>
      <c r="C352">
        <v>2</v>
      </c>
      <c r="D352">
        <v>3</v>
      </c>
      <c r="E352">
        <v>26</v>
      </c>
      <c r="F352">
        <v>0</v>
      </c>
      <c r="G352">
        <v>0</v>
      </c>
      <c r="H352">
        <v>0</v>
      </c>
      <c r="K352">
        <v>105</v>
      </c>
      <c r="L352">
        <v>0</v>
      </c>
      <c r="M352">
        <v>5</v>
      </c>
      <c r="N352">
        <v>23</v>
      </c>
      <c r="O352">
        <v>65</v>
      </c>
      <c r="P352">
        <v>4</v>
      </c>
      <c r="Q352">
        <v>6</v>
      </c>
      <c r="R352">
        <v>3</v>
      </c>
    </row>
    <row r="353" spans="1:18" x14ac:dyDescent="0.2">
      <c r="A353" s="16">
        <v>106</v>
      </c>
      <c r="B353">
        <v>1</v>
      </c>
      <c r="C353">
        <v>1</v>
      </c>
      <c r="D353">
        <v>28</v>
      </c>
      <c r="E353">
        <v>0</v>
      </c>
      <c r="F353">
        <v>0</v>
      </c>
      <c r="G353">
        <v>0</v>
      </c>
      <c r="H353">
        <v>0</v>
      </c>
      <c r="K353">
        <v>106</v>
      </c>
      <c r="L353">
        <v>0</v>
      </c>
      <c r="M353">
        <v>2</v>
      </c>
      <c r="N353">
        <v>99</v>
      </c>
      <c r="O353">
        <v>5</v>
      </c>
      <c r="P353">
        <v>0</v>
      </c>
      <c r="Q353">
        <v>0</v>
      </c>
      <c r="R353">
        <v>0</v>
      </c>
    </row>
    <row r="354" spans="1:18" x14ac:dyDescent="0.2">
      <c r="A354" s="16">
        <v>107</v>
      </c>
      <c r="B354">
        <v>0</v>
      </c>
      <c r="C354">
        <v>2</v>
      </c>
      <c r="D354">
        <v>2</v>
      </c>
      <c r="E354">
        <v>29</v>
      </c>
      <c r="F354">
        <v>0</v>
      </c>
      <c r="G354">
        <v>0</v>
      </c>
      <c r="H354">
        <v>0</v>
      </c>
      <c r="K354">
        <v>107</v>
      </c>
      <c r="L354">
        <v>0</v>
      </c>
      <c r="M354">
        <v>3</v>
      </c>
      <c r="N354">
        <v>97</v>
      </c>
      <c r="O354">
        <v>3</v>
      </c>
      <c r="P354">
        <v>1</v>
      </c>
      <c r="Q354">
        <v>0</v>
      </c>
      <c r="R354">
        <v>0</v>
      </c>
    </row>
    <row r="355" spans="1:18" x14ac:dyDescent="0.2">
      <c r="A355" s="16">
        <v>108</v>
      </c>
      <c r="B355">
        <v>0</v>
      </c>
      <c r="C355">
        <v>2</v>
      </c>
      <c r="D355">
        <v>3</v>
      </c>
      <c r="E355">
        <v>28</v>
      </c>
      <c r="F355">
        <v>0</v>
      </c>
      <c r="G355">
        <v>0</v>
      </c>
      <c r="H355">
        <v>0</v>
      </c>
      <c r="K355">
        <v>108</v>
      </c>
      <c r="L355">
        <v>0</v>
      </c>
      <c r="M355">
        <v>2</v>
      </c>
      <c r="N355">
        <v>24</v>
      </c>
      <c r="O355">
        <v>2</v>
      </c>
      <c r="P355">
        <v>0</v>
      </c>
      <c r="Q355">
        <v>0</v>
      </c>
      <c r="R355">
        <v>0</v>
      </c>
    </row>
    <row r="356" spans="1:18" x14ac:dyDescent="0.2">
      <c r="A356" s="16">
        <v>109</v>
      </c>
      <c r="B356">
        <v>0</v>
      </c>
      <c r="C356">
        <v>2</v>
      </c>
      <c r="D356">
        <v>23</v>
      </c>
      <c r="E356">
        <v>16</v>
      </c>
      <c r="F356">
        <v>0</v>
      </c>
      <c r="G356">
        <v>0</v>
      </c>
      <c r="H356">
        <v>0</v>
      </c>
      <c r="K356">
        <v>109</v>
      </c>
      <c r="L356">
        <v>0</v>
      </c>
      <c r="M356">
        <v>2</v>
      </c>
      <c r="N356">
        <v>50</v>
      </c>
      <c r="O356">
        <v>2</v>
      </c>
      <c r="P356">
        <v>0</v>
      </c>
      <c r="Q356">
        <v>0</v>
      </c>
      <c r="R356">
        <v>0</v>
      </c>
    </row>
    <row r="357" spans="1:18" x14ac:dyDescent="0.2">
      <c r="A357" s="16">
        <v>110</v>
      </c>
      <c r="B357">
        <v>0</v>
      </c>
      <c r="C357">
        <v>2</v>
      </c>
      <c r="D357">
        <v>6</v>
      </c>
      <c r="E357">
        <v>26</v>
      </c>
      <c r="F357">
        <v>0</v>
      </c>
      <c r="G357">
        <v>0</v>
      </c>
      <c r="H357">
        <v>0</v>
      </c>
      <c r="K357">
        <v>110</v>
      </c>
      <c r="L357">
        <v>0</v>
      </c>
      <c r="M357">
        <v>2</v>
      </c>
      <c r="N357">
        <v>84</v>
      </c>
      <c r="O357">
        <v>11</v>
      </c>
      <c r="P357">
        <v>0</v>
      </c>
      <c r="Q357">
        <v>0</v>
      </c>
      <c r="R357">
        <v>0</v>
      </c>
    </row>
    <row r="358" spans="1:18" x14ac:dyDescent="0.2">
      <c r="A358" s="16">
        <v>111</v>
      </c>
      <c r="B358">
        <v>0</v>
      </c>
      <c r="C358">
        <v>2</v>
      </c>
      <c r="D358">
        <v>27</v>
      </c>
      <c r="E358">
        <v>4</v>
      </c>
      <c r="F358">
        <v>0</v>
      </c>
      <c r="G358">
        <v>0</v>
      </c>
      <c r="H358">
        <v>0</v>
      </c>
      <c r="K358">
        <v>111</v>
      </c>
      <c r="L358">
        <v>0</v>
      </c>
      <c r="M358">
        <v>2</v>
      </c>
      <c r="N358">
        <v>10</v>
      </c>
      <c r="O358">
        <v>20</v>
      </c>
      <c r="P358">
        <v>0</v>
      </c>
      <c r="Q358">
        <v>0</v>
      </c>
      <c r="R358">
        <v>0</v>
      </c>
    </row>
    <row r="359" spans="1:18" x14ac:dyDescent="0.2">
      <c r="A359" s="16">
        <v>112</v>
      </c>
      <c r="B359">
        <v>0</v>
      </c>
      <c r="C359">
        <v>2</v>
      </c>
      <c r="D359">
        <v>4</v>
      </c>
      <c r="E359">
        <v>28</v>
      </c>
      <c r="F359">
        <v>0</v>
      </c>
      <c r="G359">
        <v>0</v>
      </c>
      <c r="H359">
        <v>0</v>
      </c>
      <c r="K359">
        <v>112</v>
      </c>
      <c r="L359">
        <v>0</v>
      </c>
      <c r="M359">
        <v>3</v>
      </c>
      <c r="N359">
        <v>109</v>
      </c>
      <c r="O359">
        <v>10</v>
      </c>
      <c r="P359">
        <v>2</v>
      </c>
      <c r="Q359">
        <v>0</v>
      </c>
      <c r="R359">
        <v>0</v>
      </c>
    </row>
    <row r="360" spans="1:18" x14ac:dyDescent="0.2">
      <c r="A360" s="16">
        <v>113</v>
      </c>
      <c r="B360">
        <v>0</v>
      </c>
      <c r="C360">
        <v>2</v>
      </c>
      <c r="D360">
        <v>26</v>
      </c>
      <c r="E360">
        <v>5</v>
      </c>
      <c r="F360">
        <v>0</v>
      </c>
      <c r="G360">
        <v>0</v>
      </c>
      <c r="H360">
        <v>0</v>
      </c>
      <c r="K360">
        <v>113</v>
      </c>
      <c r="L360">
        <v>0</v>
      </c>
      <c r="M360">
        <v>2</v>
      </c>
      <c r="N360">
        <v>23</v>
      </c>
      <c r="O360">
        <v>4</v>
      </c>
      <c r="P360">
        <v>0</v>
      </c>
      <c r="Q360">
        <v>0</v>
      </c>
      <c r="R360">
        <v>0</v>
      </c>
    </row>
    <row r="361" spans="1:18" x14ac:dyDescent="0.2">
      <c r="A361" s="16">
        <v>114</v>
      </c>
      <c r="B361">
        <v>0</v>
      </c>
      <c r="C361">
        <v>3</v>
      </c>
      <c r="D361">
        <v>9</v>
      </c>
      <c r="E361">
        <v>23</v>
      </c>
      <c r="F361">
        <v>5</v>
      </c>
      <c r="G361">
        <v>0</v>
      </c>
      <c r="H361">
        <v>0</v>
      </c>
      <c r="K361">
        <v>114</v>
      </c>
      <c r="L361">
        <v>0</v>
      </c>
      <c r="M361">
        <v>2</v>
      </c>
      <c r="N361">
        <v>103</v>
      </c>
      <c r="O361">
        <v>3</v>
      </c>
      <c r="P361">
        <v>0</v>
      </c>
      <c r="Q361">
        <v>0</v>
      </c>
      <c r="R361">
        <v>0</v>
      </c>
    </row>
    <row r="362" spans="1:18" x14ac:dyDescent="0.2">
      <c r="A362" s="16">
        <v>115</v>
      </c>
      <c r="B362">
        <v>0</v>
      </c>
      <c r="C362">
        <v>2</v>
      </c>
      <c r="D362">
        <v>6</v>
      </c>
      <c r="E362">
        <v>29</v>
      </c>
      <c r="F362">
        <v>0</v>
      </c>
      <c r="G362">
        <v>0</v>
      </c>
      <c r="H362">
        <v>0</v>
      </c>
      <c r="K362">
        <v>115</v>
      </c>
      <c r="L362">
        <v>0</v>
      </c>
      <c r="M362">
        <v>2</v>
      </c>
      <c r="N362">
        <v>71</v>
      </c>
      <c r="O362">
        <v>10</v>
      </c>
      <c r="P362">
        <v>0</v>
      </c>
      <c r="Q362">
        <v>0</v>
      </c>
      <c r="R362">
        <v>0</v>
      </c>
    </row>
    <row r="363" spans="1:18" x14ac:dyDescent="0.2">
      <c r="A363" s="16">
        <v>116</v>
      </c>
      <c r="B363">
        <v>1</v>
      </c>
      <c r="C363">
        <v>2</v>
      </c>
      <c r="D363">
        <v>1</v>
      </c>
      <c r="E363">
        <v>29</v>
      </c>
      <c r="F363">
        <v>0</v>
      </c>
      <c r="G363">
        <v>0</v>
      </c>
      <c r="H363">
        <v>0</v>
      </c>
      <c r="K363">
        <v>116</v>
      </c>
      <c r="L363">
        <v>0</v>
      </c>
      <c r="M363">
        <v>2</v>
      </c>
      <c r="N363">
        <v>74</v>
      </c>
      <c r="O363">
        <v>47</v>
      </c>
      <c r="P363">
        <v>0</v>
      </c>
      <c r="Q363">
        <v>0</v>
      </c>
      <c r="R363">
        <v>0</v>
      </c>
    </row>
    <row r="364" spans="1:18" x14ac:dyDescent="0.2">
      <c r="A364" s="16">
        <v>117</v>
      </c>
      <c r="B364">
        <v>1</v>
      </c>
      <c r="C364">
        <v>2</v>
      </c>
      <c r="D364">
        <v>28</v>
      </c>
      <c r="E364">
        <v>1</v>
      </c>
      <c r="F364">
        <v>0</v>
      </c>
      <c r="G364">
        <v>0</v>
      </c>
      <c r="H364">
        <v>0</v>
      </c>
      <c r="K364">
        <v>117</v>
      </c>
      <c r="L364">
        <v>0</v>
      </c>
      <c r="M364">
        <v>2</v>
      </c>
      <c r="N364">
        <v>75</v>
      </c>
      <c r="O364">
        <v>8</v>
      </c>
      <c r="P364">
        <v>0</v>
      </c>
      <c r="Q364">
        <v>0</v>
      </c>
      <c r="R364">
        <v>0</v>
      </c>
    </row>
    <row r="365" spans="1:18" x14ac:dyDescent="0.2">
      <c r="A365" s="16">
        <v>118</v>
      </c>
      <c r="B365">
        <v>0</v>
      </c>
      <c r="C365">
        <v>2</v>
      </c>
      <c r="D365">
        <v>2</v>
      </c>
      <c r="E365">
        <v>26</v>
      </c>
      <c r="F365">
        <v>0</v>
      </c>
      <c r="G365">
        <v>0</v>
      </c>
      <c r="H365">
        <v>0</v>
      </c>
      <c r="K365">
        <v>118</v>
      </c>
      <c r="L365">
        <v>0</v>
      </c>
      <c r="M365">
        <v>2</v>
      </c>
      <c r="N365">
        <v>71</v>
      </c>
      <c r="O365">
        <v>7</v>
      </c>
      <c r="P365">
        <v>0</v>
      </c>
      <c r="Q365">
        <v>0</v>
      </c>
      <c r="R365">
        <v>0</v>
      </c>
    </row>
    <row r="366" spans="1:18" x14ac:dyDescent="0.2">
      <c r="A366" s="16">
        <v>119</v>
      </c>
      <c r="B366">
        <v>1</v>
      </c>
      <c r="C366">
        <v>1</v>
      </c>
      <c r="D366">
        <v>12</v>
      </c>
      <c r="E366">
        <v>0</v>
      </c>
      <c r="F366">
        <v>0</v>
      </c>
      <c r="G366">
        <v>0</v>
      </c>
      <c r="H366">
        <v>0</v>
      </c>
      <c r="K366">
        <v>119</v>
      </c>
      <c r="L366">
        <v>0</v>
      </c>
      <c r="M366">
        <v>2</v>
      </c>
      <c r="N366">
        <v>33</v>
      </c>
      <c r="O366">
        <v>21</v>
      </c>
      <c r="P366">
        <v>0</v>
      </c>
      <c r="Q366">
        <v>0</v>
      </c>
      <c r="R366">
        <v>0</v>
      </c>
    </row>
    <row r="367" spans="1:18" x14ac:dyDescent="0.2">
      <c r="A367" s="16">
        <v>120</v>
      </c>
      <c r="B367">
        <v>0</v>
      </c>
      <c r="C367">
        <v>3</v>
      </c>
      <c r="D367">
        <v>3</v>
      </c>
      <c r="E367">
        <v>2</v>
      </c>
      <c r="F367">
        <v>11</v>
      </c>
      <c r="G367">
        <v>0</v>
      </c>
      <c r="H367">
        <v>0</v>
      </c>
      <c r="K367">
        <v>120</v>
      </c>
      <c r="L367">
        <v>0</v>
      </c>
      <c r="M367">
        <v>2</v>
      </c>
      <c r="N367">
        <v>12</v>
      </c>
      <c r="O367">
        <v>24</v>
      </c>
      <c r="P367">
        <v>0</v>
      </c>
      <c r="Q367">
        <v>0</v>
      </c>
      <c r="R367">
        <v>0</v>
      </c>
    </row>
    <row r="368" spans="1:18" x14ac:dyDescent="0.2">
      <c r="A368" s="16">
        <v>121</v>
      </c>
      <c r="B368">
        <v>0</v>
      </c>
      <c r="C368">
        <v>3</v>
      </c>
      <c r="D368">
        <v>5</v>
      </c>
      <c r="E368">
        <v>5</v>
      </c>
      <c r="F368">
        <v>4</v>
      </c>
      <c r="G368">
        <v>0</v>
      </c>
      <c r="H368">
        <v>0</v>
      </c>
      <c r="K368">
        <v>121</v>
      </c>
      <c r="L368">
        <v>0</v>
      </c>
      <c r="M368">
        <v>2</v>
      </c>
      <c r="N368">
        <v>30</v>
      </c>
      <c r="O368">
        <v>13</v>
      </c>
      <c r="P368">
        <v>0</v>
      </c>
      <c r="Q368">
        <v>0</v>
      </c>
      <c r="R368">
        <v>0</v>
      </c>
    </row>
    <row r="369" spans="1:18" x14ac:dyDescent="0.2">
      <c r="A369" s="16">
        <v>122</v>
      </c>
      <c r="B369">
        <v>0</v>
      </c>
      <c r="C369">
        <v>3</v>
      </c>
      <c r="D369">
        <v>4</v>
      </c>
      <c r="E369">
        <v>5</v>
      </c>
      <c r="F369">
        <v>4</v>
      </c>
      <c r="G369">
        <v>0</v>
      </c>
      <c r="H369">
        <v>0</v>
      </c>
      <c r="K369">
        <v>122</v>
      </c>
      <c r="L369">
        <v>0</v>
      </c>
      <c r="M369">
        <v>3</v>
      </c>
      <c r="N369">
        <v>11</v>
      </c>
      <c r="O369">
        <v>9</v>
      </c>
      <c r="P369">
        <v>10</v>
      </c>
      <c r="Q369">
        <v>0</v>
      </c>
      <c r="R369">
        <v>0</v>
      </c>
    </row>
    <row r="370" spans="1:18" x14ac:dyDescent="0.2">
      <c r="A370" s="16">
        <v>123</v>
      </c>
      <c r="B370">
        <v>0</v>
      </c>
      <c r="C370">
        <v>4</v>
      </c>
      <c r="D370">
        <v>5</v>
      </c>
      <c r="E370">
        <v>16</v>
      </c>
      <c r="F370">
        <v>8</v>
      </c>
      <c r="G370">
        <v>3</v>
      </c>
      <c r="H370">
        <v>0</v>
      </c>
      <c r="K370">
        <v>123</v>
      </c>
      <c r="L370">
        <v>1</v>
      </c>
      <c r="M370">
        <v>2</v>
      </c>
      <c r="N370">
        <v>1</v>
      </c>
      <c r="O370">
        <v>11</v>
      </c>
      <c r="P370">
        <v>0</v>
      </c>
      <c r="Q370">
        <v>0</v>
      </c>
      <c r="R370">
        <v>0</v>
      </c>
    </row>
    <row r="371" spans="1:18" x14ac:dyDescent="0.2">
      <c r="A371" s="16">
        <v>124</v>
      </c>
      <c r="B371">
        <v>0</v>
      </c>
      <c r="C371">
        <v>4</v>
      </c>
      <c r="D371">
        <v>4</v>
      </c>
      <c r="E371">
        <v>15</v>
      </c>
      <c r="F371">
        <v>7</v>
      </c>
      <c r="G371">
        <v>4</v>
      </c>
      <c r="H371">
        <v>0</v>
      </c>
    </row>
    <row r="372" spans="1:18" x14ac:dyDescent="0.2">
      <c r="A372" s="16">
        <v>125</v>
      </c>
      <c r="B372">
        <v>0</v>
      </c>
      <c r="C372">
        <v>2</v>
      </c>
      <c r="D372">
        <v>22</v>
      </c>
      <c r="E372">
        <v>3</v>
      </c>
      <c r="F372">
        <v>0</v>
      </c>
      <c r="G372">
        <v>0</v>
      </c>
      <c r="H372">
        <v>0</v>
      </c>
    </row>
    <row r="373" spans="1:18" x14ac:dyDescent="0.2">
      <c r="A373" s="16">
        <v>126</v>
      </c>
      <c r="B373">
        <v>0</v>
      </c>
      <c r="C373">
        <v>2</v>
      </c>
      <c r="D373">
        <v>23</v>
      </c>
      <c r="E373">
        <v>2</v>
      </c>
      <c r="F373">
        <v>0</v>
      </c>
      <c r="G373">
        <v>0</v>
      </c>
      <c r="H373">
        <v>0</v>
      </c>
    </row>
    <row r="374" spans="1:18" x14ac:dyDescent="0.2">
      <c r="A374" s="16">
        <v>127</v>
      </c>
      <c r="B374">
        <v>0</v>
      </c>
      <c r="C374">
        <v>2</v>
      </c>
      <c r="D374">
        <v>23</v>
      </c>
      <c r="E374">
        <v>2</v>
      </c>
      <c r="F374">
        <v>0</v>
      </c>
      <c r="G374">
        <v>0</v>
      </c>
      <c r="H374">
        <v>0</v>
      </c>
    </row>
    <row r="375" spans="1:18" x14ac:dyDescent="0.2">
      <c r="A375" s="16">
        <v>128</v>
      </c>
      <c r="B375">
        <v>0</v>
      </c>
      <c r="C375">
        <v>3</v>
      </c>
      <c r="D375">
        <v>5</v>
      </c>
      <c r="E375">
        <v>6</v>
      </c>
      <c r="F375">
        <v>13</v>
      </c>
      <c r="G375">
        <v>0</v>
      </c>
      <c r="H375">
        <v>0</v>
      </c>
    </row>
    <row r="376" spans="1:18" x14ac:dyDescent="0.2">
      <c r="A376" s="16">
        <v>129</v>
      </c>
      <c r="B376">
        <v>0</v>
      </c>
      <c r="C376">
        <v>3</v>
      </c>
      <c r="D376">
        <v>18</v>
      </c>
      <c r="E376">
        <v>6</v>
      </c>
      <c r="F376">
        <v>1</v>
      </c>
      <c r="G376">
        <v>0</v>
      </c>
      <c r="H376">
        <v>0</v>
      </c>
    </row>
    <row r="377" spans="1:18" x14ac:dyDescent="0.2">
      <c r="A377" s="16">
        <v>130</v>
      </c>
      <c r="B377">
        <v>0</v>
      </c>
      <c r="C377">
        <v>4</v>
      </c>
      <c r="D377">
        <v>16</v>
      </c>
      <c r="E377">
        <v>3</v>
      </c>
      <c r="F377">
        <v>2</v>
      </c>
      <c r="G377">
        <v>1</v>
      </c>
      <c r="H377">
        <v>0</v>
      </c>
    </row>
    <row r="378" spans="1:18" x14ac:dyDescent="0.2">
      <c r="A378" s="16">
        <v>131</v>
      </c>
      <c r="B378">
        <v>0</v>
      </c>
      <c r="C378">
        <v>3</v>
      </c>
      <c r="D378">
        <v>2</v>
      </c>
      <c r="E378">
        <v>15</v>
      </c>
      <c r="F378">
        <v>9</v>
      </c>
      <c r="G378">
        <v>0</v>
      </c>
      <c r="H378">
        <v>0</v>
      </c>
    </row>
    <row r="379" spans="1:18" x14ac:dyDescent="0.2">
      <c r="A379" s="16">
        <v>132</v>
      </c>
      <c r="B379">
        <v>0</v>
      </c>
      <c r="C379">
        <v>3</v>
      </c>
      <c r="D379">
        <v>4</v>
      </c>
      <c r="E379">
        <v>16</v>
      </c>
      <c r="F379">
        <v>5</v>
      </c>
      <c r="G379">
        <v>0</v>
      </c>
      <c r="H379">
        <v>0</v>
      </c>
    </row>
    <row r="380" spans="1:18" x14ac:dyDescent="0.2">
      <c r="A380" s="16">
        <v>133</v>
      </c>
      <c r="B380">
        <v>0</v>
      </c>
      <c r="C380">
        <v>2</v>
      </c>
      <c r="D380">
        <v>5</v>
      </c>
      <c r="E380">
        <v>20</v>
      </c>
      <c r="F380">
        <v>0</v>
      </c>
      <c r="G380">
        <v>0</v>
      </c>
      <c r="H380">
        <v>0</v>
      </c>
    </row>
    <row r="381" spans="1:18" x14ac:dyDescent="0.2">
      <c r="A381" s="16">
        <v>134</v>
      </c>
      <c r="B381">
        <v>0</v>
      </c>
      <c r="C381">
        <v>3</v>
      </c>
      <c r="D381">
        <v>4</v>
      </c>
      <c r="E381">
        <v>12</v>
      </c>
      <c r="F381">
        <v>11</v>
      </c>
      <c r="G381">
        <v>0</v>
      </c>
      <c r="H381">
        <v>0</v>
      </c>
    </row>
    <row r="382" spans="1:18" x14ac:dyDescent="0.2">
      <c r="A382" s="16">
        <v>135</v>
      </c>
      <c r="B382">
        <v>0</v>
      </c>
      <c r="C382">
        <v>2</v>
      </c>
      <c r="D382">
        <v>21</v>
      </c>
      <c r="E382">
        <v>4</v>
      </c>
      <c r="F382">
        <v>0</v>
      </c>
      <c r="G382">
        <v>0</v>
      </c>
      <c r="H382">
        <v>0</v>
      </c>
    </row>
    <row r="383" spans="1:18" x14ac:dyDescent="0.2">
      <c r="A383" s="16">
        <v>136</v>
      </c>
      <c r="B383">
        <v>0</v>
      </c>
      <c r="C383">
        <v>2</v>
      </c>
      <c r="D383">
        <v>23</v>
      </c>
      <c r="E383">
        <v>4</v>
      </c>
      <c r="F383">
        <v>0</v>
      </c>
      <c r="G383">
        <v>0</v>
      </c>
      <c r="H383">
        <v>0</v>
      </c>
    </row>
    <row r="384" spans="1:18" x14ac:dyDescent="0.2">
      <c r="A384" s="16">
        <v>137</v>
      </c>
      <c r="B384">
        <v>0</v>
      </c>
      <c r="C384">
        <v>2</v>
      </c>
      <c r="D384">
        <v>21</v>
      </c>
      <c r="E384">
        <v>3</v>
      </c>
      <c r="F384">
        <v>0</v>
      </c>
      <c r="G384">
        <v>0</v>
      </c>
      <c r="H384">
        <v>0</v>
      </c>
    </row>
    <row r="385" spans="1:8" x14ac:dyDescent="0.2">
      <c r="A385" s="16">
        <v>138</v>
      </c>
      <c r="B385">
        <v>0</v>
      </c>
      <c r="C385">
        <v>3</v>
      </c>
      <c r="D385">
        <v>1</v>
      </c>
      <c r="E385">
        <v>15</v>
      </c>
      <c r="F385">
        <v>8</v>
      </c>
      <c r="G385">
        <v>0</v>
      </c>
      <c r="H385">
        <v>0</v>
      </c>
    </row>
    <row r="386" spans="1:8" x14ac:dyDescent="0.2">
      <c r="A386" s="16">
        <v>139</v>
      </c>
      <c r="B386">
        <v>0</v>
      </c>
      <c r="C386">
        <v>3</v>
      </c>
      <c r="D386">
        <v>9</v>
      </c>
      <c r="E386">
        <v>10</v>
      </c>
      <c r="F386">
        <v>3</v>
      </c>
      <c r="G386">
        <v>0</v>
      </c>
      <c r="H386">
        <v>0</v>
      </c>
    </row>
    <row r="387" spans="1:8" x14ac:dyDescent="0.2">
      <c r="A387" s="16">
        <v>140</v>
      </c>
      <c r="B387">
        <v>0</v>
      </c>
      <c r="C387">
        <v>3</v>
      </c>
      <c r="D387">
        <v>4</v>
      </c>
      <c r="E387">
        <v>4</v>
      </c>
      <c r="F387">
        <v>17</v>
      </c>
      <c r="G387">
        <v>0</v>
      </c>
      <c r="H387">
        <v>0</v>
      </c>
    </row>
    <row r="388" spans="1:8" x14ac:dyDescent="0.2">
      <c r="A388" s="16">
        <v>141</v>
      </c>
      <c r="B388">
        <v>0</v>
      </c>
      <c r="C388">
        <v>2</v>
      </c>
      <c r="D388">
        <v>20</v>
      </c>
      <c r="E388">
        <v>7</v>
      </c>
      <c r="F388">
        <v>0</v>
      </c>
      <c r="G388">
        <v>0</v>
      </c>
      <c r="H388">
        <v>0</v>
      </c>
    </row>
    <row r="389" spans="1:8" x14ac:dyDescent="0.2">
      <c r="A389" s="16">
        <v>142</v>
      </c>
      <c r="B389">
        <v>0</v>
      </c>
      <c r="C389">
        <v>2</v>
      </c>
      <c r="D389">
        <v>15</v>
      </c>
      <c r="E389">
        <v>5</v>
      </c>
      <c r="F389">
        <v>0</v>
      </c>
      <c r="G389">
        <v>0</v>
      </c>
      <c r="H389">
        <v>0</v>
      </c>
    </row>
    <row r="390" spans="1:8" x14ac:dyDescent="0.2">
      <c r="A390" s="16">
        <v>143</v>
      </c>
      <c r="B390">
        <v>0</v>
      </c>
      <c r="C390">
        <v>2</v>
      </c>
      <c r="D390">
        <v>20</v>
      </c>
      <c r="E390">
        <v>7</v>
      </c>
      <c r="F390">
        <v>0</v>
      </c>
      <c r="G390">
        <v>0</v>
      </c>
      <c r="H390">
        <v>0</v>
      </c>
    </row>
    <row r="391" spans="1:8" x14ac:dyDescent="0.2">
      <c r="A391" s="16">
        <v>144</v>
      </c>
      <c r="B391">
        <v>1</v>
      </c>
      <c r="C391">
        <v>2</v>
      </c>
      <c r="D391">
        <v>19</v>
      </c>
      <c r="E391">
        <v>1</v>
      </c>
      <c r="F391">
        <v>0</v>
      </c>
      <c r="G391">
        <v>0</v>
      </c>
      <c r="H391">
        <v>0</v>
      </c>
    </row>
    <row r="392" spans="1:8" x14ac:dyDescent="0.2">
      <c r="A392" s="16">
        <v>145</v>
      </c>
      <c r="B392">
        <v>0</v>
      </c>
      <c r="C392">
        <v>3</v>
      </c>
      <c r="D392">
        <v>23</v>
      </c>
      <c r="E392">
        <v>2</v>
      </c>
      <c r="F392">
        <v>1</v>
      </c>
      <c r="G392">
        <v>0</v>
      </c>
      <c r="H392">
        <v>0</v>
      </c>
    </row>
    <row r="393" spans="1:8" x14ac:dyDescent="0.2">
      <c r="A393" s="16">
        <v>146</v>
      </c>
      <c r="B393">
        <v>0</v>
      </c>
      <c r="C393">
        <v>2</v>
      </c>
      <c r="D393">
        <v>23</v>
      </c>
      <c r="E393">
        <v>2</v>
      </c>
      <c r="F393">
        <v>0</v>
      </c>
      <c r="G393">
        <v>0</v>
      </c>
      <c r="H393">
        <v>0</v>
      </c>
    </row>
    <row r="394" spans="1:8" x14ac:dyDescent="0.2">
      <c r="A394" s="16">
        <v>147</v>
      </c>
      <c r="B394">
        <v>0</v>
      </c>
      <c r="C394">
        <v>3</v>
      </c>
      <c r="D394">
        <v>2</v>
      </c>
      <c r="E394">
        <v>13</v>
      </c>
      <c r="F394">
        <v>7</v>
      </c>
      <c r="G394">
        <v>0</v>
      </c>
      <c r="H394">
        <v>0</v>
      </c>
    </row>
    <row r="395" spans="1:8" x14ac:dyDescent="0.2">
      <c r="A395" s="16">
        <v>148</v>
      </c>
      <c r="B395">
        <v>0</v>
      </c>
      <c r="C395">
        <v>3</v>
      </c>
      <c r="D395">
        <v>7</v>
      </c>
      <c r="E395">
        <v>15</v>
      </c>
      <c r="F395">
        <v>3</v>
      </c>
      <c r="G395">
        <v>0</v>
      </c>
      <c r="H395">
        <v>0</v>
      </c>
    </row>
    <row r="396" spans="1:8" x14ac:dyDescent="0.2">
      <c r="A396" s="16">
        <v>149</v>
      </c>
      <c r="B396">
        <v>0</v>
      </c>
      <c r="C396">
        <v>4</v>
      </c>
      <c r="D396">
        <v>2</v>
      </c>
      <c r="E396">
        <v>4</v>
      </c>
      <c r="F396">
        <v>15</v>
      </c>
      <c r="G396">
        <v>11</v>
      </c>
      <c r="H396">
        <v>0</v>
      </c>
    </row>
    <row r="397" spans="1:8" x14ac:dyDescent="0.2">
      <c r="A397" s="16">
        <v>150</v>
      </c>
      <c r="B397">
        <v>0</v>
      </c>
      <c r="C397">
        <v>2</v>
      </c>
      <c r="D397">
        <v>22</v>
      </c>
      <c r="E397">
        <v>4</v>
      </c>
      <c r="F397">
        <v>0</v>
      </c>
      <c r="G397">
        <v>0</v>
      </c>
      <c r="H397">
        <v>0</v>
      </c>
    </row>
    <row r="398" spans="1:8" x14ac:dyDescent="0.2">
      <c r="A398" s="16">
        <v>151</v>
      </c>
      <c r="B398">
        <v>0</v>
      </c>
      <c r="C398">
        <v>2</v>
      </c>
      <c r="D398">
        <v>11</v>
      </c>
      <c r="E398">
        <v>11</v>
      </c>
      <c r="F398">
        <v>0</v>
      </c>
      <c r="G398">
        <v>0</v>
      </c>
      <c r="H398">
        <v>0</v>
      </c>
    </row>
    <row r="399" spans="1:8" x14ac:dyDescent="0.2">
      <c r="A399" s="16">
        <v>152</v>
      </c>
      <c r="B399">
        <v>0</v>
      </c>
      <c r="C399">
        <v>5</v>
      </c>
      <c r="D399">
        <v>12</v>
      </c>
      <c r="E399">
        <v>10</v>
      </c>
      <c r="F399">
        <v>7</v>
      </c>
      <c r="G399">
        <v>7</v>
      </c>
      <c r="H399">
        <v>3</v>
      </c>
    </row>
    <row r="400" spans="1:8" x14ac:dyDescent="0.2">
      <c r="A400" s="16">
        <v>153</v>
      </c>
      <c r="B400">
        <v>0</v>
      </c>
      <c r="C400">
        <v>2</v>
      </c>
      <c r="D400">
        <v>9</v>
      </c>
      <c r="E400">
        <v>12</v>
      </c>
      <c r="F400">
        <v>0</v>
      </c>
      <c r="G400">
        <v>0</v>
      </c>
      <c r="H400">
        <v>0</v>
      </c>
    </row>
    <row r="401" spans="1:8" x14ac:dyDescent="0.2">
      <c r="A401" s="16">
        <v>154</v>
      </c>
      <c r="B401">
        <v>0</v>
      </c>
      <c r="C401">
        <v>3</v>
      </c>
      <c r="D401">
        <v>7</v>
      </c>
      <c r="E401">
        <v>11</v>
      </c>
      <c r="F401">
        <v>2</v>
      </c>
      <c r="G401">
        <v>0</v>
      </c>
      <c r="H401">
        <v>0</v>
      </c>
    </row>
    <row r="402" spans="1:8" x14ac:dyDescent="0.2">
      <c r="A402" s="16">
        <v>155</v>
      </c>
      <c r="B402">
        <v>0</v>
      </c>
      <c r="C402">
        <v>3</v>
      </c>
      <c r="D402">
        <v>8</v>
      </c>
      <c r="E402">
        <v>10</v>
      </c>
      <c r="F402">
        <v>2</v>
      </c>
      <c r="G402">
        <v>0</v>
      </c>
      <c r="H402">
        <v>0</v>
      </c>
    </row>
    <row r="403" spans="1:8" x14ac:dyDescent="0.2">
      <c r="A403" s="16">
        <v>156</v>
      </c>
      <c r="B403">
        <v>0</v>
      </c>
      <c r="C403">
        <v>3</v>
      </c>
      <c r="D403">
        <v>3</v>
      </c>
      <c r="E403">
        <v>6</v>
      </c>
      <c r="F403">
        <v>7</v>
      </c>
      <c r="G403">
        <v>0</v>
      </c>
      <c r="H403">
        <v>0</v>
      </c>
    </row>
    <row r="404" spans="1:8" x14ac:dyDescent="0.2">
      <c r="A404" s="16">
        <v>157</v>
      </c>
      <c r="B404">
        <v>0</v>
      </c>
      <c r="C404">
        <v>3</v>
      </c>
      <c r="D404">
        <v>2</v>
      </c>
      <c r="E404">
        <v>7</v>
      </c>
      <c r="F404">
        <v>4</v>
      </c>
      <c r="G404">
        <v>0</v>
      </c>
      <c r="H404">
        <v>0</v>
      </c>
    </row>
    <row r="405" spans="1:8" x14ac:dyDescent="0.2">
      <c r="A405" s="16">
        <v>158</v>
      </c>
      <c r="B405">
        <v>0</v>
      </c>
      <c r="C405">
        <v>3</v>
      </c>
      <c r="D405">
        <v>6</v>
      </c>
      <c r="E405">
        <v>3</v>
      </c>
      <c r="F405">
        <v>2</v>
      </c>
      <c r="G405">
        <v>0</v>
      </c>
      <c r="H405">
        <v>0</v>
      </c>
    </row>
    <row r="406" spans="1:8" x14ac:dyDescent="0.2">
      <c r="A406" s="16">
        <v>159</v>
      </c>
      <c r="B406">
        <v>0</v>
      </c>
      <c r="C406">
        <v>2</v>
      </c>
      <c r="D406">
        <v>12</v>
      </c>
      <c r="E406">
        <v>5</v>
      </c>
      <c r="F406">
        <v>0</v>
      </c>
      <c r="G406">
        <v>0</v>
      </c>
      <c r="H406">
        <v>0</v>
      </c>
    </row>
    <row r="407" spans="1:8" x14ac:dyDescent="0.2">
      <c r="A407" s="16">
        <v>160</v>
      </c>
      <c r="B407">
        <v>0</v>
      </c>
      <c r="C407">
        <v>2</v>
      </c>
      <c r="D407">
        <v>7</v>
      </c>
      <c r="E407">
        <v>7</v>
      </c>
      <c r="F407">
        <v>0</v>
      </c>
      <c r="G407">
        <v>0</v>
      </c>
      <c r="H407">
        <v>0</v>
      </c>
    </row>
    <row r="408" spans="1:8" x14ac:dyDescent="0.2">
      <c r="A408" s="16">
        <v>161</v>
      </c>
      <c r="B408">
        <v>0</v>
      </c>
      <c r="C408">
        <v>3</v>
      </c>
      <c r="D408">
        <v>7</v>
      </c>
      <c r="E408">
        <v>8</v>
      </c>
      <c r="F408">
        <v>2</v>
      </c>
      <c r="G408">
        <v>0</v>
      </c>
      <c r="H408">
        <v>0</v>
      </c>
    </row>
    <row r="409" spans="1:8" x14ac:dyDescent="0.2">
      <c r="A409" s="16">
        <v>162</v>
      </c>
      <c r="B409">
        <v>0</v>
      </c>
      <c r="C409">
        <v>2</v>
      </c>
      <c r="D409">
        <v>8</v>
      </c>
      <c r="E409">
        <v>10</v>
      </c>
      <c r="F409">
        <v>0</v>
      </c>
      <c r="G409">
        <v>0</v>
      </c>
      <c r="H409">
        <v>0</v>
      </c>
    </row>
    <row r="410" spans="1:8" x14ac:dyDescent="0.2">
      <c r="A410" s="16">
        <v>163</v>
      </c>
      <c r="B410">
        <v>0</v>
      </c>
      <c r="C410">
        <v>2</v>
      </c>
      <c r="D410">
        <v>7</v>
      </c>
      <c r="E410">
        <v>8</v>
      </c>
      <c r="F410">
        <v>0</v>
      </c>
      <c r="G410">
        <v>0</v>
      </c>
      <c r="H410">
        <v>0</v>
      </c>
    </row>
    <row r="411" spans="1:8" x14ac:dyDescent="0.2">
      <c r="A411" s="16">
        <v>164</v>
      </c>
      <c r="B411">
        <v>0</v>
      </c>
      <c r="C411">
        <v>2</v>
      </c>
      <c r="D411">
        <v>11</v>
      </c>
      <c r="E411">
        <v>7</v>
      </c>
      <c r="F411">
        <v>0</v>
      </c>
      <c r="G411">
        <v>0</v>
      </c>
      <c r="H411">
        <v>0</v>
      </c>
    </row>
    <row r="412" spans="1:8" x14ac:dyDescent="0.2">
      <c r="A412" s="16">
        <v>165</v>
      </c>
      <c r="B412">
        <v>0</v>
      </c>
      <c r="C412">
        <v>2</v>
      </c>
      <c r="D412">
        <v>10</v>
      </c>
      <c r="E412">
        <v>4</v>
      </c>
      <c r="F412">
        <v>0</v>
      </c>
      <c r="G412">
        <v>0</v>
      </c>
      <c r="H412">
        <v>0</v>
      </c>
    </row>
    <row r="413" spans="1:8" x14ac:dyDescent="0.2">
      <c r="A413" s="16">
        <v>166</v>
      </c>
      <c r="B413">
        <v>0</v>
      </c>
      <c r="C413">
        <v>2</v>
      </c>
      <c r="D413">
        <v>11</v>
      </c>
      <c r="E413">
        <v>4</v>
      </c>
      <c r="F413">
        <v>0</v>
      </c>
      <c r="G413">
        <v>0</v>
      </c>
      <c r="H413">
        <v>0</v>
      </c>
    </row>
    <row r="414" spans="1:8" x14ac:dyDescent="0.2">
      <c r="A414" s="16">
        <v>167</v>
      </c>
      <c r="B414">
        <v>0</v>
      </c>
      <c r="C414">
        <v>3</v>
      </c>
      <c r="D414">
        <v>2</v>
      </c>
      <c r="E414">
        <v>3</v>
      </c>
      <c r="F414">
        <v>10</v>
      </c>
      <c r="G414">
        <v>0</v>
      </c>
      <c r="H414">
        <v>0</v>
      </c>
    </row>
    <row r="415" spans="1:8" x14ac:dyDescent="0.2">
      <c r="A415" s="16">
        <v>168</v>
      </c>
      <c r="B415">
        <v>0</v>
      </c>
      <c r="C415">
        <v>2</v>
      </c>
      <c r="D415">
        <v>4</v>
      </c>
      <c r="E415">
        <v>13</v>
      </c>
      <c r="F415">
        <v>0</v>
      </c>
      <c r="G415">
        <v>0</v>
      </c>
      <c r="H415">
        <v>0</v>
      </c>
    </row>
    <row r="416" spans="1:8" x14ac:dyDescent="0.2">
      <c r="A416" s="16">
        <v>169</v>
      </c>
      <c r="B416">
        <v>0</v>
      </c>
      <c r="C416">
        <v>2</v>
      </c>
      <c r="D416">
        <v>5</v>
      </c>
      <c r="E416">
        <v>10</v>
      </c>
      <c r="F416">
        <v>0</v>
      </c>
      <c r="G416">
        <v>0</v>
      </c>
      <c r="H416">
        <v>0</v>
      </c>
    </row>
    <row r="417" spans="1:8" x14ac:dyDescent="0.2">
      <c r="A417" s="16">
        <v>170</v>
      </c>
      <c r="B417">
        <v>0</v>
      </c>
      <c r="C417">
        <v>2</v>
      </c>
      <c r="D417">
        <v>6</v>
      </c>
      <c r="E417">
        <v>3</v>
      </c>
      <c r="F417">
        <v>0</v>
      </c>
      <c r="G417">
        <v>0</v>
      </c>
      <c r="H417">
        <v>0</v>
      </c>
    </row>
    <row r="418" spans="1:8" x14ac:dyDescent="0.2">
      <c r="A418" s="16">
        <v>171</v>
      </c>
      <c r="B418">
        <v>0</v>
      </c>
      <c r="C418">
        <v>2</v>
      </c>
      <c r="D418">
        <v>2</v>
      </c>
      <c r="E418">
        <v>10</v>
      </c>
      <c r="F418">
        <v>0</v>
      </c>
      <c r="G418">
        <v>0</v>
      </c>
      <c r="H418">
        <v>0</v>
      </c>
    </row>
    <row r="419" spans="1:8" x14ac:dyDescent="0.2">
      <c r="A419" s="16">
        <v>172</v>
      </c>
      <c r="B419">
        <v>0</v>
      </c>
      <c r="C419">
        <v>2</v>
      </c>
      <c r="D419">
        <v>13</v>
      </c>
      <c r="E419">
        <v>3</v>
      </c>
      <c r="F419">
        <v>0</v>
      </c>
      <c r="G419">
        <v>0</v>
      </c>
      <c r="H419">
        <v>0</v>
      </c>
    </row>
    <row r="420" spans="1:8" x14ac:dyDescent="0.2">
      <c r="A420" s="16">
        <v>173</v>
      </c>
      <c r="B420">
        <v>0</v>
      </c>
      <c r="C420">
        <v>2</v>
      </c>
      <c r="D420">
        <v>5</v>
      </c>
      <c r="E420">
        <v>3</v>
      </c>
      <c r="F420">
        <v>0</v>
      </c>
      <c r="G420">
        <v>0</v>
      </c>
      <c r="H420">
        <v>0</v>
      </c>
    </row>
    <row r="421" spans="1:8" x14ac:dyDescent="0.2">
      <c r="A421" s="16">
        <v>174</v>
      </c>
      <c r="B421">
        <v>0</v>
      </c>
      <c r="C421">
        <v>2</v>
      </c>
      <c r="D421">
        <v>5</v>
      </c>
      <c r="E421">
        <v>4</v>
      </c>
      <c r="F421">
        <v>0</v>
      </c>
      <c r="G421">
        <v>0</v>
      </c>
      <c r="H421">
        <v>0</v>
      </c>
    </row>
    <row r="422" spans="1:8" x14ac:dyDescent="0.2">
      <c r="A422" s="16">
        <v>175</v>
      </c>
      <c r="B422">
        <v>0</v>
      </c>
      <c r="C422">
        <v>2</v>
      </c>
      <c r="D422">
        <v>4</v>
      </c>
      <c r="E422">
        <v>4</v>
      </c>
      <c r="F422">
        <v>0</v>
      </c>
      <c r="G422">
        <v>0</v>
      </c>
      <c r="H422">
        <v>0</v>
      </c>
    </row>
    <row r="423" spans="1:8" x14ac:dyDescent="0.2">
      <c r="A423" s="16">
        <v>176</v>
      </c>
      <c r="B423">
        <v>0</v>
      </c>
      <c r="C423">
        <v>2</v>
      </c>
      <c r="D423">
        <v>5</v>
      </c>
      <c r="E423">
        <v>2</v>
      </c>
      <c r="F423">
        <v>0</v>
      </c>
      <c r="G423">
        <v>0</v>
      </c>
      <c r="H423">
        <v>0</v>
      </c>
    </row>
    <row r="424" spans="1:8" x14ac:dyDescent="0.2">
      <c r="A424" s="16">
        <v>177</v>
      </c>
      <c r="B424">
        <v>0</v>
      </c>
      <c r="C424">
        <v>2</v>
      </c>
      <c r="D424">
        <v>5</v>
      </c>
      <c r="E424">
        <v>4</v>
      </c>
      <c r="F424">
        <v>0</v>
      </c>
      <c r="G424">
        <v>0</v>
      </c>
      <c r="H424">
        <v>0</v>
      </c>
    </row>
    <row r="425" spans="1:8" x14ac:dyDescent="0.2">
      <c r="A425" s="16">
        <v>178</v>
      </c>
      <c r="B425">
        <v>0</v>
      </c>
      <c r="C425">
        <v>2</v>
      </c>
      <c r="D425">
        <v>3</v>
      </c>
      <c r="E425">
        <v>6</v>
      </c>
      <c r="F425">
        <v>0</v>
      </c>
      <c r="G425">
        <v>0</v>
      </c>
      <c r="H425">
        <v>0</v>
      </c>
    </row>
    <row r="426" spans="1:8" x14ac:dyDescent="0.2">
      <c r="A426" s="16">
        <v>179</v>
      </c>
      <c r="B426">
        <v>0</v>
      </c>
      <c r="C426">
        <v>2</v>
      </c>
      <c r="D426">
        <v>14</v>
      </c>
      <c r="E426">
        <v>5</v>
      </c>
      <c r="F426">
        <v>0</v>
      </c>
      <c r="G426">
        <v>0</v>
      </c>
      <c r="H426">
        <v>0</v>
      </c>
    </row>
    <row r="427" spans="1:8" x14ac:dyDescent="0.2">
      <c r="A427" s="16">
        <v>180</v>
      </c>
      <c r="B427">
        <v>0</v>
      </c>
      <c r="C427">
        <v>3</v>
      </c>
      <c r="D427">
        <v>14</v>
      </c>
      <c r="E427">
        <v>6</v>
      </c>
      <c r="F427">
        <v>4</v>
      </c>
      <c r="G427">
        <v>0</v>
      </c>
      <c r="H427">
        <v>0</v>
      </c>
    </row>
    <row r="428" spans="1:8" x14ac:dyDescent="0.2">
      <c r="A428" s="16">
        <v>181</v>
      </c>
      <c r="B428">
        <v>0</v>
      </c>
      <c r="C428">
        <v>2</v>
      </c>
      <c r="D428">
        <v>14</v>
      </c>
      <c r="E428">
        <v>2</v>
      </c>
      <c r="F428">
        <v>0</v>
      </c>
      <c r="G428">
        <v>0</v>
      </c>
      <c r="H428">
        <v>0</v>
      </c>
    </row>
    <row r="429" spans="1:8" x14ac:dyDescent="0.2">
      <c r="A429" s="16">
        <v>182</v>
      </c>
      <c r="B429">
        <v>0</v>
      </c>
      <c r="C429">
        <v>3</v>
      </c>
      <c r="D429">
        <v>3</v>
      </c>
      <c r="E429">
        <v>3</v>
      </c>
      <c r="F429">
        <v>6</v>
      </c>
      <c r="G429">
        <v>0</v>
      </c>
      <c r="H429">
        <v>0</v>
      </c>
    </row>
    <row r="430" spans="1:8" x14ac:dyDescent="0.2">
      <c r="A430" s="16">
        <v>183</v>
      </c>
      <c r="B430">
        <v>0</v>
      </c>
      <c r="C430">
        <v>2</v>
      </c>
      <c r="D430">
        <v>8</v>
      </c>
      <c r="E430">
        <v>5</v>
      </c>
      <c r="F430">
        <v>0</v>
      </c>
      <c r="G430">
        <v>0</v>
      </c>
      <c r="H430">
        <v>0</v>
      </c>
    </row>
    <row r="431" spans="1:8" x14ac:dyDescent="0.2">
      <c r="A431" s="16">
        <v>184</v>
      </c>
      <c r="B431">
        <v>0</v>
      </c>
      <c r="C431">
        <v>4</v>
      </c>
      <c r="D431">
        <v>2</v>
      </c>
      <c r="E431">
        <v>8</v>
      </c>
      <c r="F431">
        <v>1</v>
      </c>
      <c r="G431">
        <v>3</v>
      </c>
      <c r="H431">
        <v>0</v>
      </c>
    </row>
    <row r="432" spans="1:8" x14ac:dyDescent="0.2">
      <c r="A432" s="16">
        <v>185</v>
      </c>
      <c r="B432">
        <v>0</v>
      </c>
      <c r="C432">
        <v>3</v>
      </c>
      <c r="D432">
        <v>2</v>
      </c>
      <c r="E432">
        <v>3</v>
      </c>
      <c r="F432">
        <v>11</v>
      </c>
      <c r="G432">
        <v>0</v>
      </c>
      <c r="H432">
        <v>0</v>
      </c>
    </row>
    <row r="433" spans="1:8" x14ac:dyDescent="0.2">
      <c r="A433" s="16">
        <v>186</v>
      </c>
      <c r="B433">
        <v>0</v>
      </c>
      <c r="C433">
        <v>3</v>
      </c>
      <c r="D433">
        <v>8</v>
      </c>
      <c r="E433">
        <v>2</v>
      </c>
      <c r="F433">
        <v>1</v>
      </c>
      <c r="G433">
        <v>0</v>
      </c>
      <c r="H433">
        <v>0</v>
      </c>
    </row>
    <row r="434" spans="1:8" x14ac:dyDescent="0.2">
      <c r="A434" s="16">
        <v>187</v>
      </c>
      <c r="B434">
        <v>0</v>
      </c>
      <c r="C434">
        <v>3</v>
      </c>
      <c r="D434">
        <v>4</v>
      </c>
      <c r="E434">
        <v>3</v>
      </c>
      <c r="F434">
        <v>1</v>
      </c>
      <c r="G434">
        <v>0</v>
      </c>
      <c r="H434">
        <v>0</v>
      </c>
    </row>
    <row r="435" spans="1:8" x14ac:dyDescent="0.2">
      <c r="A435" s="16">
        <v>188</v>
      </c>
      <c r="B435">
        <v>0</v>
      </c>
      <c r="C435">
        <v>3</v>
      </c>
      <c r="D435">
        <v>3</v>
      </c>
      <c r="E435">
        <v>8</v>
      </c>
      <c r="F435">
        <v>5</v>
      </c>
      <c r="G435">
        <v>0</v>
      </c>
      <c r="H435">
        <v>0</v>
      </c>
    </row>
    <row r="436" spans="1:8" x14ac:dyDescent="0.2">
      <c r="A436" s="16">
        <v>189</v>
      </c>
      <c r="B436">
        <v>0</v>
      </c>
      <c r="C436">
        <v>3</v>
      </c>
      <c r="D436">
        <v>4</v>
      </c>
      <c r="E436">
        <v>4</v>
      </c>
      <c r="F436">
        <v>3</v>
      </c>
      <c r="G436">
        <v>0</v>
      </c>
      <c r="H436">
        <v>0</v>
      </c>
    </row>
    <row r="437" spans="1:8" x14ac:dyDescent="0.2">
      <c r="A437" s="16">
        <v>190</v>
      </c>
      <c r="B437">
        <v>0</v>
      </c>
      <c r="C437">
        <v>3</v>
      </c>
      <c r="D437">
        <v>3</v>
      </c>
      <c r="E437">
        <v>3</v>
      </c>
      <c r="F437">
        <v>2</v>
      </c>
      <c r="G437">
        <v>0</v>
      </c>
      <c r="H437">
        <v>0</v>
      </c>
    </row>
    <row r="438" spans="1:8" x14ac:dyDescent="0.2">
      <c r="A438" s="16">
        <v>191</v>
      </c>
      <c r="B438">
        <v>0</v>
      </c>
      <c r="C438">
        <v>3</v>
      </c>
      <c r="D438">
        <v>8</v>
      </c>
      <c r="E438">
        <v>7</v>
      </c>
      <c r="F438">
        <v>7</v>
      </c>
      <c r="G438">
        <v>0</v>
      </c>
      <c r="H438">
        <v>0</v>
      </c>
    </row>
    <row r="439" spans="1:8" x14ac:dyDescent="0.2">
      <c r="A439" s="16">
        <v>192</v>
      </c>
      <c r="B439">
        <v>0</v>
      </c>
      <c r="C439">
        <v>3</v>
      </c>
      <c r="D439">
        <v>19</v>
      </c>
      <c r="E439">
        <v>2</v>
      </c>
      <c r="F439">
        <v>3</v>
      </c>
      <c r="G439">
        <v>0</v>
      </c>
      <c r="H439">
        <v>0</v>
      </c>
    </row>
    <row r="440" spans="1:8" x14ac:dyDescent="0.2">
      <c r="A440" s="16">
        <v>193</v>
      </c>
      <c r="B440">
        <v>0</v>
      </c>
      <c r="C440">
        <v>3</v>
      </c>
      <c r="D440">
        <v>3</v>
      </c>
      <c r="E440">
        <v>3</v>
      </c>
      <c r="F440">
        <v>1</v>
      </c>
      <c r="G440">
        <v>0</v>
      </c>
      <c r="H440">
        <v>0</v>
      </c>
    </row>
    <row r="441" spans="1:8" x14ac:dyDescent="0.2">
      <c r="A441" s="16">
        <v>194</v>
      </c>
      <c r="B441">
        <v>0</v>
      </c>
      <c r="C441">
        <v>2</v>
      </c>
      <c r="D441">
        <v>3</v>
      </c>
      <c r="E441">
        <v>2</v>
      </c>
      <c r="F441">
        <v>0</v>
      </c>
      <c r="G441">
        <v>0</v>
      </c>
      <c r="H441">
        <v>0</v>
      </c>
    </row>
    <row r="442" spans="1:8" x14ac:dyDescent="0.2">
      <c r="A442" s="16">
        <v>195</v>
      </c>
      <c r="B442">
        <v>0</v>
      </c>
      <c r="C442">
        <v>2</v>
      </c>
      <c r="D442">
        <v>4</v>
      </c>
      <c r="E442">
        <v>3</v>
      </c>
      <c r="F442">
        <v>0</v>
      </c>
      <c r="G442">
        <v>0</v>
      </c>
      <c r="H442">
        <v>0</v>
      </c>
    </row>
    <row r="443" spans="1:8" x14ac:dyDescent="0.2">
      <c r="A443" s="16">
        <v>196</v>
      </c>
      <c r="B443">
        <v>0</v>
      </c>
      <c r="C443">
        <v>2</v>
      </c>
      <c r="D443">
        <v>2</v>
      </c>
      <c r="E443">
        <v>4</v>
      </c>
      <c r="F443">
        <v>0</v>
      </c>
      <c r="G443">
        <v>0</v>
      </c>
      <c r="H443">
        <v>0</v>
      </c>
    </row>
    <row r="444" spans="1:8" x14ac:dyDescent="0.2">
      <c r="A444" s="16">
        <v>197</v>
      </c>
      <c r="B444">
        <v>0</v>
      </c>
      <c r="C444">
        <v>2</v>
      </c>
      <c r="D444">
        <v>3</v>
      </c>
      <c r="E444">
        <v>5</v>
      </c>
      <c r="F444">
        <v>0</v>
      </c>
      <c r="G444">
        <v>0</v>
      </c>
      <c r="H444">
        <v>0</v>
      </c>
    </row>
    <row r="445" spans="1:8" x14ac:dyDescent="0.2">
      <c r="A445" s="16">
        <v>198</v>
      </c>
      <c r="B445">
        <v>0</v>
      </c>
      <c r="C445">
        <v>3</v>
      </c>
      <c r="D445">
        <v>1</v>
      </c>
      <c r="E445">
        <v>2</v>
      </c>
      <c r="F445">
        <v>2</v>
      </c>
      <c r="G445">
        <v>0</v>
      </c>
      <c r="H445">
        <v>0</v>
      </c>
    </row>
    <row r="446" spans="1:8" x14ac:dyDescent="0.2">
      <c r="A446" s="16">
        <v>199</v>
      </c>
      <c r="B446">
        <v>0</v>
      </c>
      <c r="C446">
        <v>3</v>
      </c>
      <c r="D446">
        <v>1</v>
      </c>
      <c r="E446">
        <v>4</v>
      </c>
      <c r="F446">
        <v>2</v>
      </c>
      <c r="G446">
        <v>0</v>
      </c>
      <c r="H446">
        <v>0</v>
      </c>
    </row>
    <row r="447" spans="1:8" x14ac:dyDescent="0.2">
      <c r="A447" s="16">
        <v>200</v>
      </c>
      <c r="B447">
        <v>0</v>
      </c>
      <c r="C447">
        <v>2</v>
      </c>
      <c r="D447">
        <v>2</v>
      </c>
      <c r="E447">
        <v>5</v>
      </c>
      <c r="F447">
        <v>0</v>
      </c>
      <c r="G447">
        <v>0</v>
      </c>
      <c r="H447">
        <v>0</v>
      </c>
    </row>
    <row r="448" spans="1:8" x14ac:dyDescent="0.2">
      <c r="A448" s="16">
        <v>201</v>
      </c>
      <c r="B448">
        <v>0</v>
      </c>
      <c r="C448">
        <v>2</v>
      </c>
      <c r="D448">
        <v>4</v>
      </c>
      <c r="E448">
        <v>4</v>
      </c>
      <c r="F448">
        <v>0</v>
      </c>
      <c r="G448">
        <v>0</v>
      </c>
      <c r="H448">
        <v>0</v>
      </c>
    </row>
    <row r="449" spans="1:8" x14ac:dyDescent="0.2">
      <c r="A449" s="16">
        <v>202</v>
      </c>
      <c r="B449">
        <v>0</v>
      </c>
      <c r="C449">
        <v>2</v>
      </c>
      <c r="D449">
        <v>2</v>
      </c>
      <c r="E449">
        <v>4</v>
      </c>
      <c r="F449">
        <v>0</v>
      </c>
      <c r="G449">
        <v>0</v>
      </c>
      <c r="H449">
        <v>0</v>
      </c>
    </row>
    <row r="450" spans="1:8" x14ac:dyDescent="0.2">
      <c r="A450" s="16">
        <v>203</v>
      </c>
      <c r="B450">
        <v>0</v>
      </c>
      <c r="C450">
        <v>2</v>
      </c>
      <c r="D450">
        <v>5</v>
      </c>
      <c r="E450">
        <v>3</v>
      </c>
      <c r="F450">
        <v>0</v>
      </c>
      <c r="G450">
        <v>0</v>
      </c>
      <c r="H450">
        <v>0</v>
      </c>
    </row>
    <row r="451" spans="1:8" x14ac:dyDescent="0.2">
      <c r="A451" s="16">
        <v>204</v>
      </c>
      <c r="B451">
        <v>0</v>
      </c>
      <c r="C451">
        <v>2</v>
      </c>
      <c r="D451">
        <v>4</v>
      </c>
      <c r="E451">
        <v>2</v>
      </c>
      <c r="F451">
        <v>0</v>
      </c>
      <c r="G451">
        <v>0</v>
      </c>
      <c r="H451">
        <v>0</v>
      </c>
    </row>
    <row r="452" spans="1:8" x14ac:dyDescent="0.2">
      <c r="A452" s="16">
        <v>205</v>
      </c>
      <c r="B452">
        <v>0</v>
      </c>
      <c r="C452">
        <v>2</v>
      </c>
      <c r="D452">
        <v>3</v>
      </c>
      <c r="E452">
        <v>3</v>
      </c>
      <c r="F452">
        <v>0</v>
      </c>
      <c r="G452">
        <v>0</v>
      </c>
      <c r="H452">
        <v>0</v>
      </c>
    </row>
    <row r="453" spans="1:8" x14ac:dyDescent="0.2">
      <c r="A453" s="16">
        <v>206</v>
      </c>
      <c r="B453">
        <v>0</v>
      </c>
      <c r="C453">
        <v>2</v>
      </c>
      <c r="D453">
        <v>4</v>
      </c>
      <c r="E453">
        <v>4</v>
      </c>
      <c r="F453">
        <v>0</v>
      </c>
      <c r="G453">
        <v>0</v>
      </c>
      <c r="H453">
        <v>0</v>
      </c>
    </row>
    <row r="454" spans="1:8" x14ac:dyDescent="0.2">
      <c r="A454" s="16">
        <v>207</v>
      </c>
      <c r="B454">
        <v>0</v>
      </c>
      <c r="C454">
        <v>2</v>
      </c>
      <c r="D454">
        <v>3</v>
      </c>
      <c r="E454">
        <v>3</v>
      </c>
      <c r="F454">
        <v>0</v>
      </c>
      <c r="G454">
        <v>0</v>
      </c>
      <c r="H454">
        <v>0</v>
      </c>
    </row>
    <row r="455" spans="1:8" x14ac:dyDescent="0.2">
      <c r="A455" s="16">
        <v>208</v>
      </c>
      <c r="B455">
        <v>0</v>
      </c>
      <c r="C455">
        <v>3</v>
      </c>
      <c r="D455">
        <v>3</v>
      </c>
      <c r="E455">
        <v>1</v>
      </c>
      <c r="F455">
        <v>3</v>
      </c>
      <c r="G455">
        <v>0</v>
      </c>
      <c r="H455">
        <v>0</v>
      </c>
    </row>
    <row r="456" spans="1:8" x14ac:dyDescent="0.2">
      <c r="A456" s="16">
        <v>209</v>
      </c>
      <c r="B456">
        <v>0</v>
      </c>
      <c r="C456">
        <v>2</v>
      </c>
      <c r="D456">
        <v>3</v>
      </c>
      <c r="E456">
        <v>3</v>
      </c>
      <c r="F456">
        <v>0</v>
      </c>
      <c r="G456">
        <v>0</v>
      </c>
      <c r="H456">
        <v>0</v>
      </c>
    </row>
    <row r="457" spans="1:8" x14ac:dyDescent="0.2">
      <c r="A457" s="16">
        <v>210</v>
      </c>
      <c r="B457">
        <v>0</v>
      </c>
      <c r="C457">
        <v>2</v>
      </c>
      <c r="D457">
        <v>2</v>
      </c>
      <c r="E457">
        <v>5</v>
      </c>
      <c r="F457">
        <v>0</v>
      </c>
      <c r="G457">
        <v>0</v>
      </c>
      <c r="H457">
        <v>0</v>
      </c>
    </row>
    <row r="458" spans="1:8" x14ac:dyDescent="0.2">
      <c r="A458" s="16">
        <v>211</v>
      </c>
      <c r="B458">
        <v>0</v>
      </c>
      <c r="C458">
        <v>4</v>
      </c>
      <c r="D458">
        <v>6</v>
      </c>
      <c r="E458">
        <v>9</v>
      </c>
      <c r="F458">
        <v>1</v>
      </c>
      <c r="G458">
        <v>6</v>
      </c>
      <c r="H458">
        <v>0</v>
      </c>
    </row>
    <row r="459" spans="1:8" x14ac:dyDescent="0.2">
      <c r="A459" s="16">
        <v>212</v>
      </c>
      <c r="B459">
        <v>0</v>
      </c>
      <c r="C459">
        <v>2</v>
      </c>
      <c r="D459">
        <v>19</v>
      </c>
      <c r="E459">
        <v>3</v>
      </c>
      <c r="F459">
        <v>0</v>
      </c>
      <c r="G459">
        <v>0</v>
      </c>
      <c r="H459">
        <v>0</v>
      </c>
    </row>
    <row r="460" spans="1:8" x14ac:dyDescent="0.2">
      <c r="A460" s="16">
        <v>213</v>
      </c>
      <c r="B460">
        <v>0</v>
      </c>
      <c r="C460">
        <v>3</v>
      </c>
      <c r="D460">
        <v>4</v>
      </c>
      <c r="E460">
        <v>4</v>
      </c>
      <c r="F460">
        <v>15</v>
      </c>
      <c r="G460">
        <v>0</v>
      </c>
      <c r="H460">
        <v>0</v>
      </c>
    </row>
    <row r="461" spans="1:8" x14ac:dyDescent="0.2">
      <c r="A461" s="16">
        <v>214</v>
      </c>
      <c r="B461">
        <v>0</v>
      </c>
      <c r="C461">
        <v>2</v>
      </c>
      <c r="D461">
        <v>3</v>
      </c>
      <c r="E461">
        <v>7</v>
      </c>
      <c r="F461">
        <v>0</v>
      </c>
      <c r="G461">
        <v>0</v>
      </c>
      <c r="H461">
        <v>0</v>
      </c>
    </row>
    <row r="462" spans="1:8" x14ac:dyDescent="0.2">
      <c r="A462" s="16">
        <v>215</v>
      </c>
      <c r="B462">
        <v>0</v>
      </c>
      <c r="C462">
        <v>2</v>
      </c>
      <c r="D462">
        <v>2</v>
      </c>
      <c r="E462">
        <v>5</v>
      </c>
      <c r="F462">
        <v>0</v>
      </c>
      <c r="G462">
        <v>0</v>
      </c>
      <c r="H462">
        <v>0</v>
      </c>
    </row>
    <row r="463" spans="1:8" x14ac:dyDescent="0.2">
      <c r="A463" s="16">
        <v>216</v>
      </c>
      <c r="B463">
        <v>0</v>
      </c>
      <c r="C463">
        <v>2</v>
      </c>
      <c r="D463">
        <v>2</v>
      </c>
      <c r="E463">
        <v>5</v>
      </c>
      <c r="F463">
        <v>0</v>
      </c>
      <c r="G463">
        <v>0</v>
      </c>
      <c r="H463">
        <v>0</v>
      </c>
    </row>
    <row r="464" spans="1:8" x14ac:dyDescent="0.2">
      <c r="A464" s="16">
        <v>217</v>
      </c>
      <c r="B464">
        <v>0</v>
      </c>
      <c r="C464">
        <v>2</v>
      </c>
      <c r="D464">
        <v>3</v>
      </c>
      <c r="E464">
        <v>4</v>
      </c>
      <c r="F464">
        <v>0</v>
      </c>
      <c r="G464">
        <v>0</v>
      </c>
      <c r="H464">
        <v>0</v>
      </c>
    </row>
    <row r="465" spans="1:8" x14ac:dyDescent="0.2">
      <c r="A465" s="16">
        <v>218</v>
      </c>
      <c r="B465">
        <v>0</v>
      </c>
      <c r="C465">
        <v>2</v>
      </c>
      <c r="D465">
        <v>5</v>
      </c>
      <c r="E465">
        <v>2</v>
      </c>
      <c r="F465">
        <v>0</v>
      </c>
      <c r="G465">
        <v>0</v>
      </c>
      <c r="H465">
        <v>0</v>
      </c>
    </row>
    <row r="466" spans="1:8" x14ac:dyDescent="0.2">
      <c r="A466" s="16">
        <v>219</v>
      </c>
      <c r="B466">
        <v>0</v>
      </c>
      <c r="C466">
        <v>2</v>
      </c>
      <c r="D466">
        <v>8</v>
      </c>
      <c r="E466">
        <v>2</v>
      </c>
      <c r="F466">
        <v>0</v>
      </c>
      <c r="G466">
        <v>0</v>
      </c>
      <c r="H466">
        <v>0</v>
      </c>
    </row>
    <row r="467" spans="1:8" x14ac:dyDescent="0.2">
      <c r="A467" s="16">
        <v>220</v>
      </c>
      <c r="B467">
        <v>0</v>
      </c>
      <c r="C467">
        <v>2</v>
      </c>
      <c r="D467">
        <v>8</v>
      </c>
      <c r="E467">
        <v>2</v>
      </c>
      <c r="F467">
        <v>0</v>
      </c>
      <c r="G467">
        <v>0</v>
      </c>
      <c r="H467">
        <v>0</v>
      </c>
    </row>
    <row r="468" spans="1:8" x14ac:dyDescent="0.2">
      <c r="A468" s="16">
        <v>221</v>
      </c>
      <c r="B468">
        <v>0</v>
      </c>
      <c r="C468">
        <v>2</v>
      </c>
      <c r="D468">
        <v>2</v>
      </c>
      <c r="E468">
        <v>7</v>
      </c>
      <c r="F468">
        <v>0</v>
      </c>
      <c r="G468">
        <v>0</v>
      </c>
      <c r="H468">
        <v>0</v>
      </c>
    </row>
    <row r="469" spans="1:8" x14ac:dyDescent="0.2">
      <c r="A469" s="16">
        <v>222</v>
      </c>
      <c r="B469">
        <v>0</v>
      </c>
      <c r="C469">
        <v>2</v>
      </c>
      <c r="D469">
        <v>3</v>
      </c>
      <c r="E469">
        <v>6</v>
      </c>
      <c r="F469">
        <v>0</v>
      </c>
      <c r="G469">
        <v>0</v>
      </c>
      <c r="H469">
        <v>0</v>
      </c>
    </row>
    <row r="470" spans="1:8" x14ac:dyDescent="0.2">
      <c r="A470" s="16">
        <v>223</v>
      </c>
      <c r="B470">
        <v>1</v>
      </c>
      <c r="C470">
        <v>2</v>
      </c>
      <c r="D470">
        <v>7</v>
      </c>
      <c r="E470">
        <v>1</v>
      </c>
      <c r="F470">
        <v>0</v>
      </c>
      <c r="G470">
        <v>0</v>
      </c>
      <c r="H470">
        <v>0</v>
      </c>
    </row>
    <row r="471" spans="1:8" x14ac:dyDescent="0.2">
      <c r="A471" s="16">
        <v>224</v>
      </c>
      <c r="B471">
        <v>1</v>
      </c>
      <c r="C471">
        <v>2</v>
      </c>
      <c r="D471">
        <v>9</v>
      </c>
      <c r="E471">
        <v>1</v>
      </c>
      <c r="F471">
        <v>0</v>
      </c>
      <c r="G471">
        <v>0</v>
      </c>
      <c r="H47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3"/>
  <sheetViews>
    <sheetView workbookViewId="0">
      <selection activeCell="A35" sqref="A35"/>
    </sheetView>
  </sheetViews>
  <sheetFormatPr baseColWidth="10" defaultRowHeight="16" x14ac:dyDescent="0.2"/>
  <cols>
    <col min="1" max="1" width="35.6640625" customWidth="1"/>
  </cols>
  <sheetData>
    <row r="1" spans="1:3" x14ac:dyDescent="0.2">
      <c r="A1" s="1" t="s">
        <v>326</v>
      </c>
    </row>
    <row r="3" spans="1:3" x14ac:dyDescent="0.2">
      <c r="A3" t="s">
        <v>327</v>
      </c>
    </row>
    <row r="5" spans="1:3" x14ac:dyDescent="0.2">
      <c r="A5" t="s">
        <v>328</v>
      </c>
    </row>
    <row r="7" spans="1:3" x14ac:dyDescent="0.2">
      <c r="A7" t="s">
        <v>354</v>
      </c>
    </row>
    <row r="14" spans="1:3" ht="17" thickBot="1" x14ac:dyDescent="0.25">
      <c r="A14" s="32"/>
      <c r="B14" s="32"/>
      <c r="C14" s="32"/>
    </row>
    <row r="15" spans="1:3" s="1" customFormat="1" ht="17" thickBot="1" x14ac:dyDescent="0.25">
      <c r="A15" s="31" t="s">
        <v>57</v>
      </c>
      <c r="B15" s="31" t="s">
        <v>261</v>
      </c>
      <c r="C15" s="31" t="s">
        <v>262</v>
      </c>
    </row>
    <row r="16" spans="1:3" x14ac:dyDescent="0.2">
      <c r="A16" s="30"/>
    </row>
    <row r="17" spans="1:1" x14ac:dyDescent="0.2">
      <c r="A17" s="30"/>
    </row>
    <row r="18" spans="1:1" x14ac:dyDescent="0.2">
      <c r="A18" s="30"/>
    </row>
    <row r="19" spans="1:1" x14ac:dyDescent="0.2">
      <c r="A19" s="30"/>
    </row>
    <row r="20" spans="1:1" x14ac:dyDescent="0.2">
      <c r="A20" s="30"/>
    </row>
    <row r="21" spans="1:1" x14ac:dyDescent="0.2">
      <c r="A21" s="30"/>
    </row>
    <row r="22" spans="1:1" x14ac:dyDescent="0.2">
      <c r="A22" s="30"/>
    </row>
    <row r="23" spans="1:1" x14ac:dyDescent="0.2">
      <c r="A23" s="30"/>
    </row>
    <row r="24" spans="1:1" x14ac:dyDescent="0.2">
      <c r="A24" s="30"/>
    </row>
    <row r="25" spans="1:1" x14ac:dyDescent="0.2">
      <c r="A25" s="30"/>
    </row>
    <row r="26" spans="1:1" x14ac:dyDescent="0.2">
      <c r="A26" s="30"/>
    </row>
    <row r="27" spans="1:1" x14ac:dyDescent="0.2">
      <c r="A27" s="30"/>
    </row>
    <row r="28" spans="1:1" x14ac:dyDescent="0.2">
      <c r="A28" s="30"/>
    </row>
    <row r="29" spans="1:1" x14ac:dyDescent="0.2">
      <c r="A29" s="30"/>
    </row>
    <row r="30" spans="1:1" x14ac:dyDescent="0.2">
      <c r="A30" s="30"/>
    </row>
    <row r="31" spans="1:1" x14ac:dyDescent="0.2">
      <c r="A31" s="30"/>
    </row>
    <row r="32" spans="1:1" x14ac:dyDescent="0.2">
      <c r="A32" s="30"/>
    </row>
    <row r="33" spans="1:1" x14ac:dyDescent="0.2">
      <c r="A33" s="30"/>
    </row>
    <row r="34" spans="1:1" x14ac:dyDescent="0.2">
      <c r="A34" s="30"/>
    </row>
    <row r="35" spans="1:1" x14ac:dyDescent="0.2">
      <c r="A35" s="30"/>
    </row>
    <row r="36" spans="1:1" x14ac:dyDescent="0.2">
      <c r="A36" s="30"/>
    </row>
    <row r="37" spans="1:1" x14ac:dyDescent="0.2">
      <c r="A37" s="30"/>
    </row>
    <row r="38" spans="1:1" x14ac:dyDescent="0.2">
      <c r="A38" s="30"/>
    </row>
    <row r="39" spans="1:1" x14ac:dyDescent="0.2">
      <c r="A39" s="30"/>
    </row>
    <row r="40" spans="1:1" x14ac:dyDescent="0.2">
      <c r="A40" s="30"/>
    </row>
    <row r="41" spans="1:1" x14ac:dyDescent="0.2">
      <c r="A41" s="30"/>
    </row>
    <row r="42" spans="1:1" x14ac:dyDescent="0.2">
      <c r="A42" s="30"/>
    </row>
    <row r="43" spans="1:1" x14ac:dyDescent="0.2">
      <c r="A43" s="30"/>
    </row>
    <row r="44" spans="1:1" x14ac:dyDescent="0.2">
      <c r="A44" s="30"/>
    </row>
    <row r="45" spans="1:1" x14ac:dyDescent="0.2">
      <c r="A45" s="30"/>
    </row>
    <row r="46" spans="1:1" x14ac:dyDescent="0.2">
      <c r="A46" s="30"/>
    </row>
    <row r="47" spans="1:1" x14ac:dyDescent="0.2">
      <c r="A47" s="30"/>
    </row>
    <row r="48" spans="1:1" x14ac:dyDescent="0.2">
      <c r="A48" s="30"/>
    </row>
    <row r="49" spans="1:1" x14ac:dyDescent="0.2">
      <c r="A49" s="30"/>
    </row>
    <row r="50" spans="1:1" x14ac:dyDescent="0.2">
      <c r="A50" s="30"/>
    </row>
    <row r="51" spans="1:1" x14ac:dyDescent="0.2">
      <c r="A51" s="30"/>
    </row>
    <row r="52" spans="1:1" x14ac:dyDescent="0.2">
      <c r="A52" s="30"/>
    </row>
    <row r="53" spans="1:1" x14ac:dyDescent="0.2">
      <c r="A53" s="30"/>
    </row>
    <row r="54" spans="1:1" x14ac:dyDescent="0.2">
      <c r="A54" s="30"/>
    </row>
    <row r="55" spans="1:1" x14ac:dyDescent="0.2">
      <c r="A55" s="30"/>
    </row>
    <row r="56" spans="1:1" x14ac:dyDescent="0.2">
      <c r="A56" s="30"/>
    </row>
    <row r="57" spans="1:1" x14ac:dyDescent="0.2">
      <c r="A57" s="30"/>
    </row>
    <row r="58" spans="1:1" x14ac:dyDescent="0.2">
      <c r="A58" s="30"/>
    </row>
    <row r="59" spans="1:1" x14ac:dyDescent="0.2">
      <c r="A59" s="30"/>
    </row>
    <row r="60" spans="1:1" x14ac:dyDescent="0.2">
      <c r="A60" s="30"/>
    </row>
    <row r="61" spans="1:1" x14ac:dyDescent="0.2">
      <c r="A61" s="30"/>
    </row>
    <row r="62" spans="1:1" x14ac:dyDescent="0.2">
      <c r="A62" s="30"/>
    </row>
    <row r="63" spans="1:1" x14ac:dyDescent="0.2">
      <c r="A63" s="30"/>
    </row>
    <row r="64" spans="1:1" x14ac:dyDescent="0.2">
      <c r="A64" s="30"/>
    </row>
    <row r="65" spans="1:1" x14ac:dyDescent="0.2">
      <c r="A65" s="30"/>
    </row>
    <row r="66" spans="1:1" x14ac:dyDescent="0.2">
      <c r="A66" s="30"/>
    </row>
    <row r="67" spans="1:1" x14ac:dyDescent="0.2">
      <c r="A67" s="30"/>
    </row>
    <row r="68" spans="1:1" x14ac:dyDescent="0.2">
      <c r="A68" s="30"/>
    </row>
    <row r="69" spans="1:1" x14ac:dyDescent="0.2">
      <c r="A69" s="30"/>
    </row>
    <row r="70" spans="1:1" x14ac:dyDescent="0.2">
      <c r="A70" s="30"/>
    </row>
    <row r="71" spans="1:1" x14ac:dyDescent="0.2">
      <c r="A71" s="30"/>
    </row>
    <row r="72" spans="1:1" x14ac:dyDescent="0.2">
      <c r="A72" s="30"/>
    </row>
    <row r="73" spans="1:1" x14ac:dyDescent="0.2">
      <c r="A73" s="30"/>
    </row>
    <row r="74" spans="1:1" x14ac:dyDescent="0.2">
      <c r="A74" s="30"/>
    </row>
    <row r="75" spans="1:1" x14ac:dyDescent="0.2">
      <c r="A75" s="30"/>
    </row>
    <row r="76" spans="1:1" x14ac:dyDescent="0.2">
      <c r="A76" s="30"/>
    </row>
    <row r="77" spans="1:1" x14ac:dyDescent="0.2">
      <c r="A77" s="30"/>
    </row>
    <row r="78" spans="1:1" x14ac:dyDescent="0.2">
      <c r="A78" s="30"/>
    </row>
    <row r="79" spans="1:1" x14ac:dyDescent="0.2">
      <c r="A79" s="30"/>
    </row>
    <row r="80" spans="1:1" x14ac:dyDescent="0.2">
      <c r="A80" s="30"/>
    </row>
    <row r="81" spans="1:1" x14ac:dyDescent="0.2">
      <c r="A81" s="30"/>
    </row>
    <row r="82" spans="1:1" x14ac:dyDescent="0.2">
      <c r="A82" s="30"/>
    </row>
    <row r="83" spans="1:1" x14ac:dyDescent="0.2">
      <c r="A83" s="30"/>
    </row>
    <row r="84" spans="1:1" x14ac:dyDescent="0.2">
      <c r="A84" s="30"/>
    </row>
    <row r="85" spans="1:1" x14ac:dyDescent="0.2">
      <c r="A85" s="30"/>
    </row>
    <row r="86" spans="1:1" x14ac:dyDescent="0.2">
      <c r="A86" s="30"/>
    </row>
    <row r="87" spans="1:1" x14ac:dyDescent="0.2">
      <c r="A87" s="30"/>
    </row>
    <row r="88" spans="1:1" x14ac:dyDescent="0.2">
      <c r="A88" s="30"/>
    </row>
    <row r="89" spans="1:1" x14ac:dyDescent="0.2">
      <c r="A89" s="30"/>
    </row>
    <row r="90" spans="1:1" x14ac:dyDescent="0.2">
      <c r="A90" s="30"/>
    </row>
    <row r="91" spans="1:1" x14ac:dyDescent="0.2">
      <c r="A91" s="30"/>
    </row>
    <row r="92" spans="1:1" x14ac:dyDescent="0.2">
      <c r="A92" s="30"/>
    </row>
    <row r="93" spans="1:1" x14ac:dyDescent="0.2">
      <c r="A93" s="30"/>
    </row>
    <row r="94" spans="1:1" x14ac:dyDescent="0.2">
      <c r="A94" s="30"/>
    </row>
    <row r="95" spans="1:1" x14ac:dyDescent="0.2">
      <c r="A95" s="30"/>
    </row>
    <row r="96" spans="1:1" x14ac:dyDescent="0.2">
      <c r="A96" s="30"/>
    </row>
    <row r="97" spans="1:1" x14ac:dyDescent="0.2">
      <c r="A97" s="30"/>
    </row>
    <row r="98" spans="1:1" x14ac:dyDescent="0.2">
      <c r="A98" s="30"/>
    </row>
    <row r="99" spans="1:1" x14ac:dyDescent="0.2">
      <c r="A99" s="30"/>
    </row>
    <row r="100" spans="1:1" x14ac:dyDescent="0.2">
      <c r="A100" s="30"/>
    </row>
    <row r="101" spans="1:1" x14ac:dyDescent="0.2">
      <c r="A101" s="30"/>
    </row>
    <row r="102" spans="1:1" x14ac:dyDescent="0.2">
      <c r="A102" s="30"/>
    </row>
    <row r="103" spans="1:1" x14ac:dyDescent="0.2">
      <c r="A103" s="30"/>
    </row>
    <row r="104" spans="1:1" x14ac:dyDescent="0.2">
      <c r="A104" s="30"/>
    </row>
    <row r="105" spans="1:1" x14ac:dyDescent="0.2">
      <c r="A105" s="8"/>
    </row>
    <row r="106" spans="1:1" x14ac:dyDescent="0.2">
      <c r="A106" s="8"/>
    </row>
    <row r="107" spans="1:1" x14ac:dyDescent="0.2">
      <c r="A107" s="8"/>
    </row>
    <row r="108" spans="1:1" x14ac:dyDescent="0.2">
      <c r="A108" s="8"/>
    </row>
    <row r="109" spans="1:1" x14ac:dyDescent="0.2">
      <c r="A109" s="8"/>
    </row>
    <row r="110" spans="1:1" x14ac:dyDescent="0.2">
      <c r="A110" s="8"/>
    </row>
    <row r="111" spans="1:1" x14ac:dyDescent="0.2">
      <c r="A111" s="8"/>
    </row>
    <row r="112" spans="1:1" x14ac:dyDescent="0.2">
      <c r="A112" s="8"/>
    </row>
    <row r="113" spans="1:1" x14ac:dyDescent="0.2">
      <c r="A113" s="8"/>
    </row>
    <row r="114" spans="1:1" x14ac:dyDescent="0.2">
      <c r="A114" s="8"/>
    </row>
    <row r="115" spans="1:1" x14ac:dyDescent="0.2">
      <c r="A115" s="8"/>
    </row>
    <row r="116" spans="1:1" x14ac:dyDescent="0.2">
      <c r="A116" s="8"/>
    </row>
    <row r="117" spans="1:1" x14ac:dyDescent="0.2">
      <c r="A117" s="8"/>
    </row>
    <row r="118" spans="1:1" x14ac:dyDescent="0.2">
      <c r="A118" s="8"/>
    </row>
    <row r="119" spans="1:1" x14ac:dyDescent="0.2">
      <c r="A119" s="8"/>
    </row>
    <row r="120" spans="1:1" x14ac:dyDescent="0.2">
      <c r="A120" s="8"/>
    </row>
    <row r="121" spans="1:1" x14ac:dyDescent="0.2">
      <c r="A121" s="8"/>
    </row>
    <row r="122" spans="1:1" x14ac:dyDescent="0.2">
      <c r="A122" s="8"/>
    </row>
    <row r="123" spans="1:1" x14ac:dyDescent="0.2">
      <c r="A123" s="8"/>
    </row>
    <row r="124" spans="1:1" x14ac:dyDescent="0.2">
      <c r="A124" s="8"/>
    </row>
    <row r="125" spans="1:1" x14ac:dyDescent="0.2">
      <c r="A125" s="8"/>
    </row>
    <row r="126" spans="1:1" x14ac:dyDescent="0.2">
      <c r="A126" s="8"/>
    </row>
    <row r="127" spans="1:1" x14ac:dyDescent="0.2">
      <c r="A127" s="8"/>
    </row>
    <row r="128" spans="1:1" x14ac:dyDescent="0.2">
      <c r="A128" s="8"/>
    </row>
    <row r="129" spans="1:1" x14ac:dyDescent="0.2">
      <c r="A129" s="8"/>
    </row>
    <row r="130" spans="1:1" x14ac:dyDescent="0.2">
      <c r="A130" s="8"/>
    </row>
    <row r="131" spans="1:1" x14ac:dyDescent="0.2">
      <c r="A131" s="8"/>
    </row>
    <row r="132" spans="1:1" x14ac:dyDescent="0.2">
      <c r="A132" s="8"/>
    </row>
    <row r="133" spans="1:1" x14ac:dyDescent="0.2">
      <c r="A133" s="8"/>
    </row>
    <row r="134" spans="1:1" x14ac:dyDescent="0.2">
      <c r="A134" s="8"/>
    </row>
    <row r="135" spans="1:1" x14ac:dyDescent="0.2">
      <c r="A135" s="8"/>
    </row>
    <row r="136" spans="1:1" x14ac:dyDescent="0.2">
      <c r="A136" s="8"/>
    </row>
    <row r="137" spans="1:1" x14ac:dyDescent="0.2">
      <c r="A137" s="8"/>
    </row>
    <row r="138" spans="1:1" x14ac:dyDescent="0.2">
      <c r="A138" s="8"/>
    </row>
    <row r="139" spans="1:1" x14ac:dyDescent="0.2">
      <c r="A139" s="8"/>
    </row>
    <row r="140" spans="1:1" x14ac:dyDescent="0.2">
      <c r="A140" s="8"/>
    </row>
    <row r="141" spans="1:1" x14ac:dyDescent="0.2">
      <c r="A141" s="8"/>
    </row>
    <row r="142" spans="1:1" x14ac:dyDescent="0.2">
      <c r="A142" s="8"/>
    </row>
    <row r="143" spans="1:1" x14ac:dyDescent="0.2">
      <c r="A143" s="8"/>
    </row>
    <row r="144" spans="1:1" x14ac:dyDescent="0.2">
      <c r="A144" s="8"/>
    </row>
    <row r="145" spans="1:1" x14ac:dyDescent="0.2">
      <c r="A145" s="8"/>
    </row>
    <row r="146" spans="1:1" x14ac:dyDescent="0.2">
      <c r="A146" s="8"/>
    </row>
    <row r="147" spans="1:1" x14ac:dyDescent="0.2">
      <c r="A147" s="8"/>
    </row>
    <row r="148" spans="1:1" x14ac:dyDescent="0.2">
      <c r="A148" s="8"/>
    </row>
    <row r="149" spans="1:1" x14ac:dyDescent="0.2">
      <c r="A149" s="8"/>
    </row>
    <row r="150" spans="1:1" x14ac:dyDescent="0.2">
      <c r="A150" s="8"/>
    </row>
    <row r="151" spans="1:1" x14ac:dyDescent="0.2">
      <c r="A151" s="8"/>
    </row>
    <row r="152" spans="1:1" x14ac:dyDescent="0.2">
      <c r="A152" s="8"/>
    </row>
    <row r="153" spans="1:1" x14ac:dyDescent="0.2">
      <c r="A153" s="8"/>
    </row>
    <row r="154" spans="1:1" x14ac:dyDescent="0.2">
      <c r="A154" s="8"/>
    </row>
    <row r="155" spans="1:1" x14ac:dyDescent="0.2">
      <c r="A155" s="8"/>
    </row>
    <row r="156" spans="1:1" x14ac:dyDescent="0.2">
      <c r="A156" s="8"/>
    </row>
    <row r="157" spans="1:1" x14ac:dyDescent="0.2">
      <c r="A157" s="8"/>
    </row>
    <row r="158" spans="1:1" x14ac:dyDescent="0.2">
      <c r="A158" s="8"/>
    </row>
    <row r="159" spans="1:1" x14ac:dyDescent="0.2">
      <c r="A159" s="8"/>
    </row>
    <row r="160" spans="1:1" x14ac:dyDescent="0.2">
      <c r="A160" s="8"/>
    </row>
    <row r="161" spans="1:1" x14ac:dyDescent="0.2">
      <c r="A161" s="8"/>
    </row>
    <row r="162" spans="1:1" x14ac:dyDescent="0.2">
      <c r="A162" s="8"/>
    </row>
    <row r="163" spans="1:1" x14ac:dyDescent="0.2">
      <c r="A163" s="8"/>
    </row>
    <row r="164" spans="1:1" x14ac:dyDescent="0.2">
      <c r="A164" s="8"/>
    </row>
    <row r="165" spans="1:1" x14ac:dyDescent="0.2">
      <c r="A165" s="8"/>
    </row>
    <row r="166" spans="1:1" x14ac:dyDescent="0.2">
      <c r="A166" s="8"/>
    </row>
    <row r="167" spans="1:1" x14ac:dyDescent="0.2">
      <c r="A167" s="8"/>
    </row>
    <row r="168" spans="1:1" x14ac:dyDescent="0.2">
      <c r="A168" s="8"/>
    </row>
    <row r="169" spans="1:1" x14ac:dyDescent="0.2">
      <c r="A169" s="8"/>
    </row>
    <row r="170" spans="1:1" x14ac:dyDescent="0.2">
      <c r="A170" s="8"/>
    </row>
    <row r="171" spans="1:1" x14ac:dyDescent="0.2">
      <c r="A171" s="8"/>
    </row>
    <row r="172" spans="1:1" x14ac:dyDescent="0.2">
      <c r="A172" s="8"/>
    </row>
    <row r="173" spans="1:1" x14ac:dyDescent="0.2">
      <c r="A173" s="8"/>
    </row>
    <row r="174" spans="1:1" x14ac:dyDescent="0.2">
      <c r="A174" s="8"/>
    </row>
    <row r="175" spans="1:1" x14ac:dyDescent="0.2">
      <c r="A175" s="8"/>
    </row>
    <row r="176" spans="1:1" x14ac:dyDescent="0.2">
      <c r="A176" s="8"/>
    </row>
    <row r="177" spans="1:1" x14ac:dyDescent="0.2">
      <c r="A177" s="8"/>
    </row>
    <row r="178" spans="1:1" x14ac:dyDescent="0.2">
      <c r="A178" s="8"/>
    </row>
    <row r="179" spans="1:1" x14ac:dyDescent="0.2">
      <c r="A179" s="8"/>
    </row>
    <row r="180" spans="1:1" x14ac:dyDescent="0.2">
      <c r="A180" s="8"/>
    </row>
    <row r="181" spans="1:1" x14ac:dyDescent="0.2">
      <c r="A181" s="8"/>
    </row>
    <row r="182" spans="1:1" x14ac:dyDescent="0.2">
      <c r="A182" s="8"/>
    </row>
    <row r="183" spans="1:1" x14ac:dyDescent="0.2">
      <c r="A183" s="8"/>
    </row>
    <row r="184" spans="1:1" x14ac:dyDescent="0.2">
      <c r="A184" s="8"/>
    </row>
    <row r="185" spans="1:1" x14ac:dyDescent="0.2">
      <c r="A185" s="8"/>
    </row>
    <row r="186" spans="1:1" x14ac:dyDescent="0.2">
      <c r="A186" s="8"/>
    </row>
    <row r="187" spans="1:1" x14ac:dyDescent="0.2">
      <c r="A187" s="8"/>
    </row>
    <row r="188" spans="1:1" x14ac:dyDescent="0.2">
      <c r="A188" s="8"/>
    </row>
    <row r="189" spans="1:1" x14ac:dyDescent="0.2">
      <c r="A189" s="8"/>
    </row>
    <row r="190" spans="1:1" x14ac:dyDescent="0.2">
      <c r="A190" s="8"/>
    </row>
    <row r="191" spans="1:1" x14ac:dyDescent="0.2">
      <c r="A191" s="8"/>
    </row>
    <row r="192" spans="1:1" x14ac:dyDescent="0.2">
      <c r="A192" s="8"/>
    </row>
    <row r="193" spans="1:1" x14ac:dyDescent="0.2">
      <c r="A193" s="8"/>
    </row>
    <row r="194" spans="1:1" x14ac:dyDescent="0.2">
      <c r="A194" s="8"/>
    </row>
    <row r="195" spans="1:1" x14ac:dyDescent="0.2">
      <c r="A195" s="8"/>
    </row>
    <row r="196" spans="1:1" x14ac:dyDescent="0.2">
      <c r="A196" s="8"/>
    </row>
    <row r="197" spans="1:1" x14ac:dyDescent="0.2">
      <c r="A197" s="8"/>
    </row>
    <row r="198" spans="1:1" x14ac:dyDescent="0.2">
      <c r="A198" s="8"/>
    </row>
    <row r="199" spans="1:1" x14ac:dyDescent="0.2">
      <c r="A199" s="8"/>
    </row>
    <row r="200" spans="1:1" x14ac:dyDescent="0.2">
      <c r="A200" s="8"/>
    </row>
    <row r="201" spans="1:1" x14ac:dyDescent="0.2">
      <c r="A201" s="8"/>
    </row>
    <row r="202" spans="1:1" x14ac:dyDescent="0.2">
      <c r="A202" s="8"/>
    </row>
    <row r="203" spans="1:1" x14ac:dyDescent="0.2">
      <c r="A203" s="8"/>
    </row>
    <row r="204" spans="1:1" x14ac:dyDescent="0.2">
      <c r="A204" s="8"/>
    </row>
    <row r="205" spans="1:1" x14ac:dyDescent="0.2">
      <c r="A205" s="8"/>
    </row>
    <row r="206" spans="1:1" x14ac:dyDescent="0.2">
      <c r="A206" s="8"/>
    </row>
    <row r="207" spans="1:1" x14ac:dyDescent="0.2">
      <c r="A207" s="8"/>
    </row>
    <row r="208" spans="1:1" x14ac:dyDescent="0.2">
      <c r="A208" s="8"/>
    </row>
    <row r="209" spans="1:1" x14ac:dyDescent="0.2">
      <c r="A209" s="8"/>
    </row>
    <row r="210" spans="1:1" x14ac:dyDescent="0.2">
      <c r="A210" s="8"/>
    </row>
    <row r="211" spans="1:1" x14ac:dyDescent="0.2">
      <c r="A211" s="8"/>
    </row>
    <row r="212" spans="1:1" x14ac:dyDescent="0.2">
      <c r="A212" s="8"/>
    </row>
    <row r="213" spans="1:1" x14ac:dyDescent="0.2">
      <c r="A213" s="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OTUs</vt:lpstr>
      <vt:lpstr>taxa</vt:lpstr>
      <vt:lpstr>nodes</vt:lpstr>
      <vt:lpstr>data</vt:lpstr>
      <vt:lpstr>taxonsets</vt:lpstr>
      <vt:lpstr>treemodel</vt:lpstr>
      <vt:lpstr>run</vt:lpstr>
      <vt:lpstr>stats</vt:lpstr>
      <vt:lpstr>traits</vt:lpstr>
    </vt:vector>
  </TitlesOfParts>
  <Company>UT Knoxville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2014-10-20T17:38:37Z</dcterms:created>
  <dcterms:modified xsi:type="dcterms:W3CDTF">2026-09-05T04:39:46Z</dcterms:modified>
</cp:coreProperties>
</file>